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scripts/statistical_test_scripts/rq1_result/"/>
    </mc:Choice>
  </mc:AlternateContent>
  <xr:revisionPtr revIDLastSave="0" documentId="13_ncr:1_{64233AA2-5BA3-C34E-BB71-C58929503A76}" xr6:coauthVersionLast="47" xr6:coauthVersionMax="47" xr10:uidLastSave="{00000000-0000-0000-0000-000000000000}"/>
  <bookViews>
    <workbookView xWindow="0" yWindow="580" windowWidth="25600" windowHeight="15060" activeTab="1" xr2:uid="{00000000-000D-0000-FFFF-FFFF00000000}"/>
  </bookViews>
  <sheets>
    <sheet name="mechanism_rho_long" sheetId="1" r:id="rId1"/>
    <sheet name="mechanism_rho_pivot" sheetId="2" r:id="rId2"/>
    <sheet name="transformation_share" sheetId="3" r:id="rId3"/>
    <sheet name="warmup_per_cell" sheetId="4" r:id="rId4"/>
    <sheet name="warmup_summary" sheetId="5" r:id="rId5"/>
    <sheet name="warmup_fingerpri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E3" i="2"/>
</calcChain>
</file>

<file path=xl/sharedStrings.xml><?xml version="1.0" encoding="utf-8"?>
<sst xmlns="http://schemas.openxmlformats.org/spreadsheetml/2006/main" count="521" uniqueCount="59">
  <si>
    <t>Level</t>
  </si>
  <si>
    <t>Component</t>
  </si>
  <si>
    <t>N</t>
  </si>
  <si>
    <t>rho</t>
  </si>
  <si>
    <t>p_value</t>
  </si>
  <si>
    <t>median_share_pct</t>
  </si>
  <si>
    <t>iqr_share_pct</t>
  </si>
  <si>
    <t>L2</t>
  </si>
  <si>
    <t>TotalTestGenTime</t>
  </si>
  <si>
    <t>ESGFxModelLoadTime</t>
  </si>
  <si>
    <t>TransformationTime</t>
  </si>
  <si>
    <t>AlgTestGenTime</t>
  </si>
  <si>
    <t>TestCaseRecordingTime</t>
  </si>
  <si>
    <t>TransformationShare(%)</t>
  </si>
  <si>
    <t>L3</t>
  </si>
  <si>
    <t>L4</t>
  </si>
  <si>
    <t>SPL</t>
  </si>
  <si>
    <t>SPLName</t>
  </si>
  <si>
    <t>Approach</t>
  </si>
  <si>
    <t>ApproachLabel</t>
  </si>
  <si>
    <t>N_runs</t>
  </si>
  <si>
    <t>median_ms</t>
  </si>
  <si>
    <t>mean_ms</t>
  </si>
  <si>
    <t>min_ms</t>
  </si>
  <si>
    <t>max_ms</t>
  </si>
  <si>
    <t>CV_pct</t>
  </si>
  <si>
    <t>IQR_pct</t>
  </si>
  <si>
    <t>mean_over_median</t>
  </si>
  <si>
    <t>max_over_median</t>
  </si>
  <si>
    <t>SVM</t>
  </si>
  <si>
    <t>Soda Vending Machine</t>
  </si>
  <si>
    <t>ESG-Fx</t>
  </si>
  <si>
    <t>Model Once, Generate Any</t>
  </si>
  <si>
    <t>L1</t>
  </si>
  <si>
    <t>EFG</t>
  </si>
  <si>
    <t>Structural Baseline</t>
  </si>
  <si>
    <t>RandomWalk</t>
  </si>
  <si>
    <t>Stochastic Baseline</t>
  </si>
  <si>
    <t>L0</t>
  </si>
  <si>
    <t>eM</t>
  </si>
  <si>
    <t>eMail</t>
  </si>
  <si>
    <t>El</t>
  </si>
  <si>
    <t>Elevator</t>
  </si>
  <si>
    <t>BAv2</t>
  </si>
  <si>
    <t>Bank Account</t>
  </si>
  <si>
    <t>SAS</t>
  </si>
  <si>
    <t>Student Attendance System</t>
  </si>
  <si>
    <t>Te</t>
  </si>
  <si>
    <t>Tesla Web Configurator</t>
  </si>
  <si>
    <t>Svia</t>
  </si>
  <si>
    <t>syngo.via</t>
  </si>
  <si>
    <t>HS</t>
  </si>
  <si>
    <t>Hockerty Shirts Web Configurator</t>
  </si>
  <si>
    <t>median_CV_pct</t>
  </si>
  <si>
    <t>max_CV_pct</t>
  </si>
  <si>
    <t>median_IQR_pct</t>
  </si>
  <si>
    <t>max_IQR_pct</t>
  </si>
  <si>
    <t>median_max_over_median</t>
  </si>
  <si>
    <t>max_max_over_median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</si>
</sst>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K8" sqref="K8"/>
    </sheetView>
  </sheetViews>
  <sheetFormatPr baseColWidth="10" defaultColWidth="8.83203125" defaultRowHeight="15" x14ac:dyDescent="0.2"/>
  <cols>
    <col min="2" max="2" width="19.5" bestFit="1" customWidth="1"/>
    <col min="3" max="3" width="5.1640625" bestFit="1" customWidth="1"/>
    <col min="4" max="4" width="7.1640625" bestFit="1" customWidth="1"/>
    <col min="5" max="5" width="11.83203125" bestFit="1" customWidth="1"/>
    <col min="6" max="6" width="15" bestFit="1" customWidth="1"/>
    <col min="7" max="7" width="11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>
        <v>4455</v>
      </c>
      <c r="D2" s="1">
        <v>0.35539999999999999</v>
      </c>
      <c r="E2" s="1">
        <v>9.2364113582905169E-133</v>
      </c>
      <c r="F2" s="1"/>
      <c r="G2" s="1"/>
    </row>
    <row r="3" spans="1:7" x14ac:dyDescent="0.2">
      <c r="A3" s="1" t="s">
        <v>7</v>
      </c>
      <c r="B3" s="1" t="s">
        <v>9</v>
      </c>
      <c r="C3" s="1">
        <v>4455</v>
      </c>
      <c r="D3" s="1">
        <v>0.2056</v>
      </c>
      <c r="E3" s="1">
        <v>1.0067827737427081E-43</v>
      </c>
      <c r="F3" s="1"/>
      <c r="G3" s="1"/>
    </row>
    <row r="4" spans="1:7" x14ac:dyDescent="0.2">
      <c r="A4" s="1" t="s">
        <v>7</v>
      </c>
      <c r="B4" s="1" t="s">
        <v>10</v>
      </c>
      <c r="C4" s="1">
        <v>4455</v>
      </c>
      <c r="D4" s="1">
        <v>0.18559999999999999</v>
      </c>
      <c r="E4" s="1">
        <v>7.7997378936425152E-36</v>
      </c>
      <c r="F4" s="1"/>
      <c r="G4" s="1"/>
    </row>
    <row r="5" spans="1:7" x14ac:dyDescent="0.2">
      <c r="A5" s="1" t="s">
        <v>7</v>
      </c>
      <c r="B5" s="1" t="s">
        <v>11</v>
      </c>
      <c r="C5" s="1">
        <v>4455</v>
      </c>
      <c r="D5" s="1">
        <v>0.38569999999999999</v>
      </c>
      <c r="E5" s="1">
        <v>5.5415040504452371E-158</v>
      </c>
      <c r="F5" s="1"/>
      <c r="G5" s="1"/>
    </row>
    <row r="6" spans="1:7" x14ac:dyDescent="0.2">
      <c r="A6" s="1" t="s">
        <v>7</v>
      </c>
      <c r="B6" s="1" t="s">
        <v>12</v>
      </c>
      <c r="C6" s="1">
        <v>4455</v>
      </c>
      <c r="D6" s="1">
        <v>0.2843</v>
      </c>
      <c r="E6" s="1">
        <v>1.307824278195959E-83</v>
      </c>
      <c r="F6" s="1"/>
      <c r="G6" s="1"/>
    </row>
    <row r="7" spans="1:7" x14ac:dyDescent="0.2">
      <c r="A7" s="1" t="s">
        <v>7</v>
      </c>
      <c r="B7" s="1" t="s">
        <v>13</v>
      </c>
      <c r="C7" s="1">
        <v>4455</v>
      </c>
      <c r="D7" s="1"/>
      <c r="E7" s="1"/>
      <c r="F7" s="1">
        <v>3.04</v>
      </c>
      <c r="G7" s="1">
        <v>3.02</v>
      </c>
    </row>
    <row r="8" spans="1:7" x14ac:dyDescent="0.2">
      <c r="A8" s="1" t="s">
        <v>14</v>
      </c>
      <c r="B8" s="1" t="s">
        <v>8</v>
      </c>
      <c r="C8" s="1">
        <v>4455</v>
      </c>
      <c r="D8" s="1">
        <v>0.52559999999999996</v>
      </c>
      <c r="E8" s="1">
        <v>0</v>
      </c>
      <c r="F8" s="1"/>
      <c r="G8" s="1"/>
    </row>
    <row r="9" spans="1:7" x14ac:dyDescent="0.2">
      <c r="A9" s="1" t="s">
        <v>14</v>
      </c>
      <c r="B9" s="1" t="s">
        <v>9</v>
      </c>
      <c r="C9" s="1">
        <v>4455</v>
      </c>
      <c r="D9" s="1">
        <v>0.1913</v>
      </c>
      <c r="E9" s="1">
        <v>5.7307688270170715E-38</v>
      </c>
      <c r="F9" s="1"/>
      <c r="G9" s="1"/>
    </row>
    <row r="10" spans="1:7" x14ac:dyDescent="0.2">
      <c r="A10" s="1" t="s">
        <v>14</v>
      </c>
      <c r="B10" s="1" t="s">
        <v>10</v>
      </c>
      <c r="C10" s="1">
        <v>4455</v>
      </c>
      <c r="D10" s="1">
        <v>0.37740000000000001</v>
      </c>
      <c r="E10" s="1">
        <v>7.6852893181622427E-151</v>
      </c>
      <c r="F10" s="1"/>
      <c r="G10" s="1"/>
    </row>
    <row r="11" spans="1:7" x14ac:dyDescent="0.2">
      <c r="A11" s="1" t="s">
        <v>14</v>
      </c>
      <c r="B11" s="1" t="s">
        <v>11</v>
      </c>
      <c r="C11" s="1">
        <v>4455</v>
      </c>
      <c r="D11" s="1">
        <v>0.54790000000000005</v>
      </c>
      <c r="E11" s="1">
        <v>0</v>
      </c>
      <c r="F11" s="1"/>
      <c r="G11" s="1"/>
    </row>
    <row r="12" spans="1:7" x14ac:dyDescent="0.2">
      <c r="A12" s="1" t="s">
        <v>14</v>
      </c>
      <c r="B12" s="1" t="s">
        <v>12</v>
      </c>
      <c r="C12" s="1">
        <v>4455</v>
      </c>
      <c r="D12" s="1">
        <v>0.4506</v>
      </c>
      <c r="E12" s="1">
        <v>8.755287380700275E-222</v>
      </c>
      <c r="F12" s="1"/>
      <c r="G12" s="1"/>
    </row>
    <row r="13" spans="1:7" x14ac:dyDescent="0.2">
      <c r="A13" s="1" t="s">
        <v>14</v>
      </c>
      <c r="B13" s="1" t="s">
        <v>13</v>
      </c>
      <c r="C13" s="1">
        <v>4455</v>
      </c>
      <c r="D13" s="1"/>
      <c r="E13" s="1"/>
      <c r="F13" s="1">
        <v>11.25</v>
      </c>
      <c r="G13" s="1">
        <v>11.02</v>
      </c>
    </row>
    <row r="14" spans="1:7" x14ac:dyDescent="0.2">
      <c r="A14" s="1" t="s">
        <v>15</v>
      </c>
      <c r="B14" s="1" t="s">
        <v>8</v>
      </c>
      <c r="C14" s="1">
        <v>4455</v>
      </c>
      <c r="D14" s="1">
        <v>0.6018</v>
      </c>
      <c r="E14" s="1">
        <v>0</v>
      </c>
      <c r="F14" s="1"/>
      <c r="G14" s="1"/>
    </row>
    <row r="15" spans="1:7" x14ac:dyDescent="0.2">
      <c r="A15" s="1" t="s">
        <v>15</v>
      </c>
      <c r="B15" s="1" t="s">
        <v>9</v>
      </c>
      <c r="C15" s="1">
        <v>4455</v>
      </c>
      <c r="D15" s="1">
        <v>0.17480000000000001</v>
      </c>
      <c r="E15" s="1">
        <v>6.4863188564554185E-32</v>
      </c>
      <c r="F15" s="1"/>
      <c r="G15" s="1"/>
    </row>
    <row r="16" spans="1:7" x14ac:dyDescent="0.2">
      <c r="A16" s="1" t="s">
        <v>15</v>
      </c>
      <c r="B16" s="1" t="s">
        <v>10</v>
      </c>
      <c r="C16" s="1">
        <v>4455</v>
      </c>
      <c r="D16" s="1">
        <v>0.5071</v>
      </c>
      <c r="E16" s="1">
        <v>8.848392158365017E-290</v>
      </c>
      <c r="F16" s="1"/>
      <c r="G16" s="1"/>
    </row>
    <row r="17" spans="1:7" x14ac:dyDescent="0.2">
      <c r="A17" s="1" t="s">
        <v>15</v>
      </c>
      <c r="B17" s="1" t="s">
        <v>11</v>
      </c>
      <c r="C17" s="1">
        <v>4455</v>
      </c>
      <c r="D17" s="1">
        <v>0.61329999999999996</v>
      </c>
      <c r="E17" s="1">
        <v>0</v>
      </c>
      <c r="F17" s="1"/>
      <c r="G17" s="1"/>
    </row>
    <row r="18" spans="1:7" x14ac:dyDescent="0.2">
      <c r="A18" s="1" t="s">
        <v>15</v>
      </c>
      <c r="B18" s="1" t="s">
        <v>12</v>
      </c>
      <c r="C18" s="1">
        <v>4455</v>
      </c>
      <c r="D18" s="1">
        <v>0.54969999999999997</v>
      </c>
      <c r="E18" s="1">
        <v>0</v>
      </c>
      <c r="F18" s="1"/>
      <c r="G18" s="1"/>
    </row>
    <row r="19" spans="1:7" x14ac:dyDescent="0.2">
      <c r="A19" s="1" t="s">
        <v>15</v>
      </c>
      <c r="B19" s="1" t="s">
        <v>13</v>
      </c>
      <c r="C19" s="1">
        <v>4455</v>
      </c>
      <c r="D19" s="1"/>
      <c r="E19" s="1"/>
      <c r="F19" s="1">
        <v>16.3</v>
      </c>
      <c r="G19" s="1">
        <v>14.17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19" style="1" bestFit="1" customWidth="1"/>
    <col min="2" max="4" width="7.1640625" style="1" bestFit="1" customWidth="1"/>
    <col min="5" max="16384" width="8.83203125" style="1"/>
  </cols>
  <sheetData>
    <row r="1" spans="1:6" x14ac:dyDescent="0.2">
      <c r="A1" s="1" t="s">
        <v>1</v>
      </c>
      <c r="B1" s="1" t="s">
        <v>7</v>
      </c>
      <c r="C1" s="1" t="s">
        <v>14</v>
      </c>
      <c r="D1" s="1" t="s">
        <v>15</v>
      </c>
    </row>
    <row r="2" spans="1:6" x14ac:dyDescent="0.2">
      <c r="A2" s="1" t="s">
        <v>11</v>
      </c>
      <c r="B2" s="1">
        <v>0.38569999999999999</v>
      </c>
      <c r="C2" s="1">
        <v>0.54790000000000005</v>
      </c>
      <c r="D2" s="1">
        <v>0.61329999999999996</v>
      </c>
    </row>
    <row r="3" spans="1:6" x14ac:dyDescent="0.2">
      <c r="A3" s="1" t="s">
        <v>9</v>
      </c>
      <c r="B3" s="1">
        <v>0.2056</v>
      </c>
      <c r="C3" s="1">
        <v>0.1913</v>
      </c>
      <c r="D3" s="1">
        <v>0.17480000000000001</v>
      </c>
      <c r="E3" s="1">
        <f>MEDIAN(B3:D3)</f>
        <v>0.1913</v>
      </c>
      <c r="F3" s="1">
        <f>AVERAGE(B3:D3)</f>
        <v>0.19056666666666669</v>
      </c>
    </row>
    <row r="4" spans="1:6" x14ac:dyDescent="0.2">
      <c r="A4" s="1" t="s">
        <v>12</v>
      </c>
      <c r="B4" s="1">
        <v>0.2843</v>
      </c>
      <c r="C4" s="1">
        <v>0.4506</v>
      </c>
      <c r="D4" s="1">
        <v>0.54969999999999997</v>
      </c>
    </row>
    <row r="5" spans="1:6" x14ac:dyDescent="0.2">
      <c r="A5" s="1" t="s">
        <v>8</v>
      </c>
      <c r="B5" s="1">
        <v>0.35539999999999999</v>
      </c>
      <c r="C5" s="1">
        <v>0.52559999999999996</v>
      </c>
      <c r="D5" s="1">
        <v>0.6018</v>
      </c>
    </row>
    <row r="6" spans="1:6" x14ac:dyDescent="0.2">
      <c r="A6" s="1" t="s">
        <v>10</v>
      </c>
      <c r="B6" s="1">
        <v>0.18559999999999999</v>
      </c>
      <c r="C6" s="1">
        <v>0.37740000000000001</v>
      </c>
      <c r="D6" s="1">
        <v>0.5071</v>
      </c>
    </row>
    <row r="13" spans="1:6" x14ac:dyDescent="0.2">
      <c r="A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1" sqref="A1:XFD1048576"/>
    </sheetView>
  </sheetViews>
  <sheetFormatPr baseColWidth="10" defaultColWidth="8.83203125" defaultRowHeight="15" x14ac:dyDescent="0.2"/>
  <cols>
    <col min="1" max="1" width="5" style="1" bestFit="1" customWidth="1"/>
    <col min="2" max="2" width="15" style="1" bestFit="1" customWidth="1"/>
    <col min="3" max="3" width="11.5" style="1" bestFit="1" customWidth="1"/>
    <col min="4" max="16384" width="8.83203125" style="1"/>
  </cols>
  <sheetData>
    <row r="1" spans="1:3" x14ac:dyDescent="0.2">
      <c r="A1" s="1" t="s">
        <v>0</v>
      </c>
      <c r="B1" s="1" t="s">
        <v>5</v>
      </c>
      <c r="C1" s="1" t="s">
        <v>6</v>
      </c>
    </row>
    <row r="2" spans="1:3" x14ac:dyDescent="0.2">
      <c r="A2" s="1" t="s">
        <v>7</v>
      </c>
      <c r="B2" s="1">
        <v>3.04</v>
      </c>
      <c r="C2" s="1">
        <v>3.02</v>
      </c>
    </row>
    <row r="3" spans="1:3" x14ac:dyDescent="0.2">
      <c r="A3" s="1" t="s">
        <v>14</v>
      </c>
      <c r="B3" s="1">
        <v>11.25</v>
      </c>
      <c r="C3" s="1">
        <v>11.02</v>
      </c>
    </row>
    <row r="4" spans="1:3" x14ac:dyDescent="0.2">
      <c r="A4" s="1" t="s">
        <v>15</v>
      </c>
      <c r="B4" s="1">
        <v>16.3</v>
      </c>
      <c r="C4" s="1">
        <v>14.17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5"/>
  <sheetViews>
    <sheetView workbookViewId="0">
      <selection activeCell="G15" sqref="A1:N65"/>
    </sheetView>
  </sheetViews>
  <sheetFormatPr baseColWidth="10" defaultColWidth="8.83203125" defaultRowHeight="15" x14ac:dyDescent="0.2"/>
  <cols>
    <col min="1" max="1" width="5" bestFit="1" customWidth="1"/>
    <col min="2" max="2" width="27" bestFit="1" customWidth="1"/>
    <col min="3" max="3" width="11.33203125" bestFit="1" customWidth="1"/>
    <col min="4" max="4" width="21.1640625" bestFit="1" customWidth="1"/>
    <col min="5" max="5" width="5" bestFit="1" customWidth="1"/>
    <col min="6" max="6" width="6.5" bestFit="1" customWidth="1"/>
    <col min="7" max="10" width="12.1640625" bestFit="1" customWidth="1"/>
    <col min="11" max="12" width="7.1640625" bestFit="1" customWidth="1"/>
    <col min="13" max="13" width="16" bestFit="1" customWidth="1"/>
    <col min="14" max="14" width="15" bestFit="1" customWidth="1"/>
  </cols>
  <sheetData>
    <row r="1" spans="1:14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0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x14ac:dyDescent="0.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11</v>
      </c>
      <c r="G2" s="1">
        <v>1270.3800000000001</v>
      </c>
      <c r="H2" s="1">
        <v>1294.69</v>
      </c>
      <c r="I2" s="1">
        <v>1109.74</v>
      </c>
      <c r="J2" s="1">
        <v>1487.03</v>
      </c>
      <c r="K2" s="1">
        <v>9.07</v>
      </c>
      <c r="L2" s="1">
        <v>14.02</v>
      </c>
      <c r="M2" s="1">
        <v>1.0189999999999999</v>
      </c>
      <c r="N2" s="1">
        <v>1.171</v>
      </c>
    </row>
    <row r="3" spans="1:14" x14ac:dyDescent="0.2">
      <c r="A3" s="1" t="s">
        <v>29</v>
      </c>
      <c r="B3" s="1" t="s">
        <v>30</v>
      </c>
      <c r="C3" s="1" t="s">
        <v>31</v>
      </c>
      <c r="D3" s="1" t="s">
        <v>32</v>
      </c>
      <c r="E3" s="1" t="s">
        <v>7</v>
      </c>
      <c r="F3" s="1">
        <v>11</v>
      </c>
      <c r="G3" s="1">
        <v>1389.56</v>
      </c>
      <c r="H3" s="1">
        <v>1385.93</v>
      </c>
      <c r="I3" s="1">
        <v>1165.8399999999999</v>
      </c>
      <c r="J3" s="1">
        <v>1913.29</v>
      </c>
      <c r="K3" s="1">
        <v>15.77</v>
      </c>
      <c r="L3" s="1">
        <v>15.38</v>
      </c>
      <c r="M3" s="1">
        <v>0.997</v>
      </c>
      <c r="N3" s="1">
        <v>1.377</v>
      </c>
    </row>
    <row r="4" spans="1:14" x14ac:dyDescent="0.2">
      <c r="A4" s="1" t="s">
        <v>29</v>
      </c>
      <c r="B4" s="1" t="s">
        <v>30</v>
      </c>
      <c r="C4" s="1" t="s">
        <v>31</v>
      </c>
      <c r="D4" s="1" t="s">
        <v>32</v>
      </c>
      <c r="E4" s="1" t="s">
        <v>14</v>
      </c>
      <c r="F4" s="1">
        <v>11</v>
      </c>
      <c r="G4" s="1">
        <v>1531.63</v>
      </c>
      <c r="H4" s="1">
        <v>1531.93</v>
      </c>
      <c r="I4" s="1">
        <v>1215.05</v>
      </c>
      <c r="J4" s="1">
        <v>1801.16</v>
      </c>
      <c r="K4" s="1">
        <v>10.45</v>
      </c>
      <c r="L4" s="1">
        <v>6.22</v>
      </c>
      <c r="M4" s="1">
        <v>1</v>
      </c>
      <c r="N4" s="1">
        <v>1.1759999999999999</v>
      </c>
    </row>
    <row r="5" spans="1:14" x14ac:dyDescent="0.2">
      <c r="A5" s="1" t="s">
        <v>29</v>
      </c>
      <c r="B5" s="1" t="s">
        <v>30</v>
      </c>
      <c r="C5" s="1" t="s">
        <v>31</v>
      </c>
      <c r="D5" s="1" t="s">
        <v>32</v>
      </c>
      <c r="E5" s="1" t="s">
        <v>15</v>
      </c>
      <c r="F5" s="1">
        <v>11</v>
      </c>
      <c r="G5" s="1">
        <v>1534.27</v>
      </c>
      <c r="H5" s="1">
        <v>1574.21</v>
      </c>
      <c r="I5" s="1">
        <v>1314.47</v>
      </c>
      <c r="J5" s="1">
        <v>2035.05</v>
      </c>
      <c r="K5" s="1">
        <v>12.78</v>
      </c>
      <c r="L5" s="1">
        <v>12.8</v>
      </c>
      <c r="M5" s="1">
        <v>1.026</v>
      </c>
      <c r="N5" s="1">
        <v>1.3260000000000001</v>
      </c>
    </row>
    <row r="6" spans="1:14" x14ac:dyDescent="0.2">
      <c r="A6" s="1" t="s">
        <v>29</v>
      </c>
      <c r="B6" s="1" t="s">
        <v>30</v>
      </c>
      <c r="C6" s="1" t="s">
        <v>34</v>
      </c>
      <c r="D6" s="1" t="s">
        <v>35</v>
      </c>
      <c r="E6" s="1" t="s">
        <v>7</v>
      </c>
      <c r="F6" s="1">
        <v>11</v>
      </c>
      <c r="G6" s="1">
        <v>11998.43</v>
      </c>
      <c r="H6" s="1">
        <v>12847.71</v>
      </c>
      <c r="I6" s="1">
        <v>10482.34</v>
      </c>
      <c r="J6" s="1">
        <v>16338.48</v>
      </c>
      <c r="K6" s="1">
        <v>17.46</v>
      </c>
      <c r="L6" s="1">
        <v>30.54</v>
      </c>
      <c r="M6" s="1">
        <v>1.071</v>
      </c>
      <c r="N6" s="1">
        <v>1.3620000000000001</v>
      </c>
    </row>
    <row r="7" spans="1:14" x14ac:dyDescent="0.2">
      <c r="A7" s="1" t="s">
        <v>29</v>
      </c>
      <c r="B7" s="1" t="s">
        <v>30</v>
      </c>
      <c r="C7" s="1" t="s">
        <v>34</v>
      </c>
      <c r="D7" s="1" t="s">
        <v>35</v>
      </c>
      <c r="E7" s="1" t="s">
        <v>14</v>
      </c>
      <c r="F7" s="1">
        <v>11</v>
      </c>
      <c r="G7" s="1">
        <v>12223.56</v>
      </c>
      <c r="H7" s="1">
        <v>12664.17</v>
      </c>
      <c r="I7" s="1">
        <v>10878.56</v>
      </c>
      <c r="J7" s="1">
        <v>17716.34</v>
      </c>
      <c r="K7" s="1">
        <v>15.43</v>
      </c>
      <c r="L7" s="1">
        <v>11.91</v>
      </c>
      <c r="M7" s="1">
        <v>1.036</v>
      </c>
      <c r="N7" s="1">
        <v>1.4490000000000001</v>
      </c>
    </row>
    <row r="8" spans="1:14" x14ac:dyDescent="0.2">
      <c r="A8" s="1" t="s">
        <v>29</v>
      </c>
      <c r="B8" s="1" t="s">
        <v>30</v>
      </c>
      <c r="C8" s="1" t="s">
        <v>34</v>
      </c>
      <c r="D8" s="1" t="s">
        <v>35</v>
      </c>
      <c r="E8" s="1" t="s">
        <v>15</v>
      </c>
      <c r="F8" s="1">
        <v>11</v>
      </c>
      <c r="G8" s="1">
        <v>11171.19</v>
      </c>
      <c r="H8" s="1">
        <v>12663.22</v>
      </c>
      <c r="I8" s="1">
        <v>10295.89</v>
      </c>
      <c r="J8" s="1">
        <v>18134.5</v>
      </c>
      <c r="K8" s="1">
        <v>21.51</v>
      </c>
      <c r="L8" s="1">
        <v>20.09</v>
      </c>
      <c r="M8" s="1">
        <v>1.1339999999999999</v>
      </c>
      <c r="N8" s="1">
        <v>1.623</v>
      </c>
    </row>
    <row r="9" spans="1:14" x14ac:dyDescent="0.2">
      <c r="A9" s="1" t="s">
        <v>29</v>
      </c>
      <c r="B9" s="1" t="s">
        <v>30</v>
      </c>
      <c r="C9" s="1" t="s">
        <v>36</v>
      </c>
      <c r="D9" s="1" t="s">
        <v>37</v>
      </c>
      <c r="E9" s="1" t="s">
        <v>38</v>
      </c>
      <c r="F9" s="1">
        <v>11</v>
      </c>
      <c r="G9" s="1">
        <v>648.77</v>
      </c>
      <c r="H9" s="1">
        <v>652.99</v>
      </c>
      <c r="I9" s="1">
        <v>552.08000000000004</v>
      </c>
      <c r="J9" s="1">
        <v>843.12</v>
      </c>
      <c r="K9" s="1">
        <v>13</v>
      </c>
      <c r="L9" s="1">
        <v>17.53</v>
      </c>
      <c r="M9" s="1">
        <v>1.0069999999999999</v>
      </c>
      <c r="N9" s="1">
        <v>1.3</v>
      </c>
    </row>
    <row r="10" spans="1:14" x14ac:dyDescent="0.2">
      <c r="A10" s="1" t="s">
        <v>39</v>
      </c>
      <c r="B10" s="1" t="s">
        <v>40</v>
      </c>
      <c r="C10" s="1" t="s">
        <v>31</v>
      </c>
      <c r="D10" s="1" t="s">
        <v>32</v>
      </c>
      <c r="E10" s="1" t="s">
        <v>33</v>
      </c>
      <c r="F10" s="1">
        <v>11</v>
      </c>
      <c r="G10" s="1">
        <v>3177.76</v>
      </c>
      <c r="H10" s="1">
        <v>3177.11</v>
      </c>
      <c r="I10" s="1">
        <v>2621.64</v>
      </c>
      <c r="J10" s="1">
        <v>3526.55</v>
      </c>
      <c r="K10" s="1">
        <v>7.41</v>
      </c>
      <c r="L10" s="1">
        <v>4.38</v>
      </c>
      <c r="M10" s="1">
        <v>1</v>
      </c>
      <c r="N10" s="1">
        <v>1.1100000000000001</v>
      </c>
    </row>
    <row r="11" spans="1:14" x14ac:dyDescent="0.2">
      <c r="A11" s="1" t="s">
        <v>39</v>
      </c>
      <c r="B11" s="1" t="s">
        <v>40</v>
      </c>
      <c r="C11" s="1" t="s">
        <v>31</v>
      </c>
      <c r="D11" s="1" t="s">
        <v>32</v>
      </c>
      <c r="E11" s="1" t="s">
        <v>7</v>
      </c>
      <c r="F11" s="1">
        <v>11</v>
      </c>
      <c r="G11" s="1">
        <v>2773.92</v>
      </c>
      <c r="H11" s="1">
        <v>2799.98</v>
      </c>
      <c r="I11" s="1">
        <v>2459.9299999999998</v>
      </c>
      <c r="J11" s="1">
        <v>3092.78</v>
      </c>
      <c r="K11" s="1">
        <v>7.05</v>
      </c>
      <c r="L11" s="1">
        <v>10.67</v>
      </c>
      <c r="M11" s="1">
        <v>1.0089999999999999</v>
      </c>
      <c r="N11" s="1">
        <v>1.115</v>
      </c>
    </row>
    <row r="12" spans="1:14" x14ac:dyDescent="0.2">
      <c r="A12" s="1" t="s">
        <v>39</v>
      </c>
      <c r="B12" s="1" t="s">
        <v>40</v>
      </c>
      <c r="C12" s="1" t="s">
        <v>31</v>
      </c>
      <c r="D12" s="1" t="s">
        <v>32</v>
      </c>
      <c r="E12" s="1" t="s">
        <v>14</v>
      </c>
      <c r="F12" s="1">
        <v>11</v>
      </c>
      <c r="G12" s="1">
        <v>3919.68</v>
      </c>
      <c r="H12" s="1">
        <v>3913.66</v>
      </c>
      <c r="I12" s="1">
        <v>3280.69</v>
      </c>
      <c r="J12" s="1">
        <v>4961.22</v>
      </c>
      <c r="K12" s="1">
        <v>13.02</v>
      </c>
      <c r="L12" s="1">
        <v>17.27</v>
      </c>
      <c r="M12" s="1">
        <v>0.998</v>
      </c>
      <c r="N12" s="1">
        <v>1.266</v>
      </c>
    </row>
    <row r="13" spans="1:14" x14ac:dyDescent="0.2">
      <c r="A13" s="1" t="s">
        <v>39</v>
      </c>
      <c r="B13" s="1" t="s">
        <v>40</v>
      </c>
      <c r="C13" s="1" t="s">
        <v>31</v>
      </c>
      <c r="D13" s="1" t="s">
        <v>32</v>
      </c>
      <c r="E13" s="1" t="s">
        <v>15</v>
      </c>
      <c r="F13" s="1">
        <v>11</v>
      </c>
      <c r="G13" s="1">
        <v>7331.01</v>
      </c>
      <c r="H13" s="1">
        <v>7268.83</v>
      </c>
      <c r="I13" s="1">
        <v>6255.95</v>
      </c>
      <c r="J13" s="1">
        <v>8372.65</v>
      </c>
      <c r="K13" s="1">
        <v>8.4600000000000009</v>
      </c>
      <c r="L13" s="1">
        <v>6.75</v>
      </c>
      <c r="M13" s="1">
        <v>0.99199999999999999</v>
      </c>
      <c r="N13" s="1">
        <v>1.1419999999999999</v>
      </c>
    </row>
    <row r="14" spans="1:14" x14ac:dyDescent="0.2">
      <c r="A14" s="1" t="s">
        <v>39</v>
      </c>
      <c r="B14" s="1" t="s">
        <v>40</v>
      </c>
      <c r="C14" s="1" t="s">
        <v>34</v>
      </c>
      <c r="D14" s="1" t="s">
        <v>35</v>
      </c>
      <c r="E14" s="1" t="s">
        <v>7</v>
      </c>
      <c r="F14" s="1">
        <v>11</v>
      </c>
      <c r="G14" s="1">
        <v>21542.639999999999</v>
      </c>
      <c r="H14" s="1">
        <v>22076.59</v>
      </c>
      <c r="I14" s="1">
        <v>18939.84</v>
      </c>
      <c r="J14" s="1">
        <v>34752.81</v>
      </c>
      <c r="K14" s="1">
        <v>19.63</v>
      </c>
      <c r="L14" s="1">
        <v>8.17</v>
      </c>
      <c r="M14" s="1">
        <v>1.0249999999999999</v>
      </c>
      <c r="N14" s="1">
        <v>1.613</v>
      </c>
    </row>
    <row r="15" spans="1:14" x14ac:dyDescent="0.2">
      <c r="A15" s="1" t="s">
        <v>39</v>
      </c>
      <c r="B15" s="1" t="s">
        <v>40</v>
      </c>
      <c r="C15" s="1" t="s">
        <v>34</v>
      </c>
      <c r="D15" s="1" t="s">
        <v>35</v>
      </c>
      <c r="E15" s="1" t="s">
        <v>14</v>
      </c>
      <c r="F15" s="1">
        <v>11</v>
      </c>
      <c r="G15" s="1">
        <v>20185.07</v>
      </c>
      <c r="H15" s="1">
        <v>21910.38</v>
      </c>
      <c r="I15" s="1">
        <v>18281.79</v>
      </c>
      <c r="J15" s="1">
        <v>40125.72</v>
      </c>
      <c r="K15" s="1">
        <v>28</v>
      </c>
      <c r="L15" s="1">
        <v>6.02</v>
      </c>
      <c r="M15" s="1">
        <v>1.085</v>
      </c>
      <c r="N15" s="1">
        <v>1.988</v>
      </c>
    </row>
    <row r="16" spans="1:14" x14ac:dyDescent="0.2">
      <c r="A16" s="1" t="s">
        <v>39</v>
      </c>
      <c r="B16" s="1" t="s">
        <v>40</v>
      </c>
      <c r="C16" s="1" t="s">
        <v>34</v>
      </c>
      <c r="D16" s="1" t="s">
        <v>35</v>
      </c>
      <c r="E16" s="1" t="s">
        <v>15</v>
      </c>
      <c r="F16" s="1">
        <v>11</v>
      </c>
      <c r="G16" s="1">
        <v>21421.51</v>
      </c>
      <c r="H16" s="1">
        <v>24026.93</v>
      </c>
      <c r="I16" s="1">
        <v>18926.97</v>
      </c>
      <c r="J16" s="1">
        <v>51107.59</v>
      </c>
      <c r="K16" s="1">
        <v>37.840000000000003</v>
      </c>
      <c r="L16" s="1">
        <v>8.34</v>
      </c>
      <c r="M16" s="1">
        <v>1.1220000000000001</v>
      </c>
      <c r="N16" s="1">
        <v>2.3860000000000001</v>
      </c>
    </row>
    <row r="17" spans="1:14" x14ac:dyDescent="0.2">
      <c r="A17" s="1" t="s">
        <v>39</v>
      </c>
      <c r="B17" s="1" t="s">
        <v>40</v>
      </c>
      <c r="C17" s="1" t="s">
        <v>36</v>
      </c>
      <c r="D17" s="1" t="s">
        <v>37</v>
      </c>
      <c r="E17" s="1" t="s">
        <v>38</v>
      </c>
      <c r="F17" s="1">
        <v>11</v>
      </c>
      <c r="G17" s="1">
        <v>1309.95</v>
      </c>
      <c r="H17" s="1">
        <v>1365.6</v>
      </c>
      <c r="I17" s="1">
        <v>1209.3900000000001</v>
      </c>
      <c r="J17" s="1">
        <v>1667.4</v>
      </c>
      <c r="K17" s="1">
        <v>9.83</v>
      </c>
      <c r="L17" s="1">
        <v>13.03</v>
      </c>
      <c r="M17" s="1">
        <v>1.042</v>
      </c>
      <c r="N17" s="1">
        <v>1.2729999999999999</v>
      </c>
    </row>
    <row r="18" spans="1:14" x14ac:dyDescent="0.2">
      <c r="A18" s="1" t="s">
        <v>41</v>
      </c>
      <c r="B18" s="1" t="s">
        <v>42</v>
      </c>
      <c r="C18" s="1" t="s">
        <v>31</v>
      </c>
      <c r="D18" s="1" t="s">
        <v>32</v>
      </c>
      <c r="E18" s="1" t="s">
        <v>33</v>
      </c>
      <c r="F18" s="1">
        <v>11</v>
      </c>
      <c r="G18" s="1">
        <v>5817.35</v>
      </c>
      <c r="H18" s="1">
        <v>5736.23</v>
      </c>
      <c r="I18" s="1">
        <v>5297.01</v>
      </c>
      <c r="J18" s="1">
        <v>6389.89</v>
      </c>
      <c r="K18" s="1">
        <v>5.95</v>
      </c>
      <c r="L18" s="1">
        <v>8.36</v>
      </c>
      <c r="M18" s="1">
        <v>0.98599999999999999</v>
      </c>
      <c r="N18" s="1">
        <v>1.0980000000000001</v>
      </c>
    </row>
    <row r="19" spans="1:14" x14ac:dyDescent="0.2">
      <c r="A19" s="1" t="s">
        <v>41</v>
      </c>
      <c r="B19" s="1" t="s">
        <v>42</v>
      </c>
      <c r="C19" s="1" t="s">
        <v>31</v>
      </c>
      <c r="D19" s="1" t="s">
        <v>32</v>
      </c>
      <c r="E19" s="1" t="s">
        <v>7</v>
      </c>
      <c r="F19" s="1">
        <v>11</v>
      </c>
      <c r="G19" s="1">
        <v>5864.97</v>
      </c>
      <c r="H19" s="1">
        <v>5962.81</v>
      </c>
      <c r="I19" s="1">
        <v>5310.25</v>
      </c>
      <c r="J19" s="1">
        <v>6966.99</v>
      </c>
      <c r="K19" s="1">
        <v>8.27</v>
      </c>
      <c r="L19" s="1">
        <v>9.2100000000000009</v>
      </c>
      <c r="M19" s="1">
        <v>1.0169999999999999</v>
      </c>
      <c r="N19" s="1">
        <v>1.1879999999999999</v>
      </c>
    </row>
    <row r="20" spans="1:14" x14ac:dyDescent="0.2">
      <c r="A20" s="1" t="s">
        <v>41</v>
      </c>
      <c r="B20" s="1" t="s">
        <v>42</v>
      </c>
      <c r="C20" s="1" t="s">
        <v>31</v>
      </c>
      <c r="D20" s="1" t="s">
        <v>32</v>
      </c>
      <c r="E20" s="1" t="s">
        <v>14</v>
      </c>
      <c r="F20" s="1">
        <v>11</v>
      </c>
      <c r="G20" s="1">
        <v>11889.75</v>
      </c>
      <c r="H20" s="1">
        <v>11834.41</v>
      </c>
      <c r="I20" s="1">
        <v>11103.85</v>
      </c>
      <c r="J20" s="1">
        <v>12535.76</v>
      </c>
      <c r="K20" s="1">
        <v>4.04</v>
      </c>
      <c r="L20" s="1">
        <v>5.95</v>
      </c>
      <c r="M20" s="1">
        <v>0.995</v>
      </c>
      <c r="N20" s="1">
        <v>1.054</v>
      </c>
    </row>
    <row r="21" spans="1:14" x14ac:dyDescent="0.2">
      <c r="A21" s="1" t="s">
        <v>41</v>
      </c>
      <c r="B21" s="1" t="s">
        <v>42</v>
      </c>
      <c r="C21" s="1" t="s">
        <v>31</v>
      </c>
      <c r="D21" s="1" t="s">
        <v>32</v>
      </c>
      <c r="E21" s="1" t="s">
        <v>15</v>
      </c>
      <c r="F21" s="1">
        <v>11</v>
      </c>
      <c r="G21" s="1">
        <v>18891.32</v>
      </c>
      <c r="H21" s="1">
        <v>18827.75</v>
      </c>
      <c r="I21" s="1">
        <v>17237.18</v>
      </c>
      <c r="J21" s="1">
        <v>20539.45</v>
      </c>
      <c r="K21" s="1">
        <v>5.07</v>
      </c>
      <c r="L21" s="1">
        <v>4</v>
      </c>
      <c r="M21" s="1">
        <v>0.997</v>
      </c>
      <c r="N21" s="1">
        <v>1.087</v>
      </c>
    </row>
    <row r="22" spans="1:14" x14ac:dyDescent="0.2">
      <c r="A22" s="1" t="s">
        <v>41</v>
      </c>
      <c r="B22" s="1" t="s">
        <v>42</v>
      </c>
      <c r="C22" s="1" t="s">
        <v>34</v>
      </c>
      <c r="D22" s="1" t="s">
        <v>35</v>
      </c>
      <c r="E22" s="1" t="s">
        <v>7</v>
      </c>
      <c r="F22" s="1">
        <v>11</v>
      </c>
      <c r="G22" s="1">
        <v>40288.089999999997</v>
      </c>
      <c r="H22" s="1">
        <v>45751.44</v>
      </c>
      <c r="I22" s="1">
        <v>37170.69</v>
      </c>
      <c r="J22" s="1">
        <v>104809.12</v>
      </c>
      <c r="K22" s="1">
        <v>42.94</v>
      </c>
      <c r="L22" s="1">
        <v>5.56</v>
      </c>
      <c r="M22" s="1">
        <v>1.1359999999999999</v>
      </c>
      <c r="N22" s="1">
        <v>2.601</v>
      </c>
    </row>
    <row r="23" spans="1:14" x14ac:dyDescent="0.2">
      <c r="A23" s="1" t="s">
        <v>41</v>
      </c>
      <c r="B23" s="1" t="s">
        <v>42</v>
      </c>
      <c r="C23" s="1" t="s">
        <v>34</v>
      </c>
      <c r="D23" s="1" t="s">
        <v>35</v>
      </c>
      <c r="E23" s="1" t="s">
        <v>14</v>
      </c>
      <c r="F23" s="1">
        <v>11</v>
      </c>
      <c r="G23" s="1">
        <v>41895.550000000003</v>
      </c>
      <c r="H23" s="1">
        <v>57876.6</v>
      </c>
      <c r="I23" s="1">
        <v>38694.339999999997</v>
      </c>
      <c r="J23" s="1">
        <v>221899.28</v>
      </c>
      <c r="K23" s="1">
        <v>94.01</v>
      </c>
      <c r="L23" s="1">
        <v>2.78</v>
      </c>
      <c r="M23" s="1">
        <v>1.381</v>
      </c>
      <c r="N23" s="1">
        <v>5.2960000000000003</v>
      </c>
    </row>
    <row r="24" spans="1:14" x14ac:dyDescent="0.2">
      <c r="A24" s="1" t="s">
        <v>41</v>
      </c>
      <c r="B24" s="1" t="s">
        <v>42</v>
      </c>
      <c r="C24" s="1" t="s">
        <v>34</v>
      </c>
      <c r="D24" s="1" t="s">
        <v>35</v>
      </c>
      <c r="E24" s="1" t="s">
        <v>15</v>
      </c>
      <c r="F24" s="1">
        <v>11</v>
      </c>
      <c r="G24" s="1">
        <v>42370.22</v>
      </c>
      <c r="H24" s="1">
        <v>65490.82</v>
      </c>
      <c r="I24" s="1">
        <v>41282.57</v>
      </c>
      <c r="J24" s="1">
        <v>289709.39</v>
      </c>
      <c r="K24" s="1">
        <v>113.59</v>
      </c>
      <c r="L24" s="1">
        <v>6.47</v>
      </c>
      <c r="M24" s="1">
        <v>1.546</v>
      </c>
      <c r="N24" s="1">
        <v>6.8380000000000001</v>
      </c>
    </row>
    <row r="25" spans="1:14" x14ac:dyDescent="0.2">
      <c r="A25" s="1" t="s">
        <v>41</v>
      </c>
      <c r="B25" s="1" t="s">
        <v>42</v>
      </c>
      <c r="C25" s="1" t="s">
        <v>36</v>
      </c>
      <c r="D25" s="1" t="s">
        <v>37</v>
      </c>
      <c r="E25" s="1" t="s">
        <v>38</v>
      </c>
      <c r="F25" s="1">
        <v>11</v>
      </c>
      <c r="G25" s="1">
        <v>2287.19</v>
      </c>
      <c r="H25" s="1">
        <v>2422.09</v>
      </c>
      <c r="I25" s="1">
        <v>2038.16</v>
      </c>
      <c r="J25" s="1">
        <v>3284.23</v>
      </c>
      <c r="K25" s="1">
        <v>15.68</v>
      </c>
      <c r="L25" s="1">
        <v>12.42</v>
      </c>
      <c r="M25" s="1">
        <v>1.0589999999999999</v>
      </c>
      <c r="N25" s="1">
        <v>1.4359999999999999</v>
      </c>
    </row>
    <row r="26" spans="1:14" x14ac:dyDescent="0.2">
      <c r="A26" s="1" t="s">
        <v>43</v>
      </c>
      <c r="B26" s="1" t="s">
        <v>44</v>
      </c>
      <c r="C26" s="1" t="s">
        <v>31</v>
      </c>
      <c r="D26" s="1" t="s">
        <v>32</v>
      </c>
      <c r="E26" s="1" t="s">
        <v>33</v>
      </c>
      <c r="F26" s="1">
        <v>11</v>
      </c>
      <c r="G26" s="1">
        <v>25573.68</v>
      </c>
      <c r="H26" s="1">
        <v>26007.42</v>
      </c>
      <c r="I26" s="1">
        <v>23675.26</v>
      </c>
      <c r="J26" s="1">
        <v>28261.45</v>
      </c>
      <c r="K26" s="1">
        <v>5.67</v>
      </c>
      <c r="L26" s="1">
        <v>8.26</v>
      </c>
      <c r="M26" s="1">
        <v>1.0169999999999999</v>
      </c>
      <c r="N26" s="1">
        <v>1.105</v>
      </c>
    </row>
    <row r="27" spans="1:14" x14ac:dyDescent="0.2">
      <c r="A27" s="1" t="s">
        <v>43</v>
      </c>
      <c r="B27" s="1" t="s">
        <v>44</v>
      </c>
      <c r="C27" s="1" t="s">
        <v>31</v>
      </c>
      <c r="D27" s="1" t="s">
        <v>32</v>
      </c>
      <c r="E27" s="1" t="s">
        <v>7</v>
      </c>
      <c r="F27" s="1">
        <v>11</v>
      </c>
      <c r="G27" s="1">
        <v>21042.77</v>
      </c>
      <c r="H27" s="1">
        <v>21506.02</v>
      </c>
      <c r="I27" s="1">
        <v>20530.04</v>
      </c>
      <c r="J27" s="1">
        <v>23386.59</v>
      </c>
      <c r="K27" s="1">
        <v>4.41</v>
      </c>
      <c r="L27" s="1">
        <v>5.46</v>
      </c>
      <c r="M27" s="1">
        <v>1.022</v>
      </c>
      <c r="N27" s="1">
        <v>1.111</v>
      </c>
    </row>
    <row r="28" spans="1:14" x14ac:dyDescent="0.2">
      <c r="A28" s="1" t="s">
        <v>43</v>
      </c>
      <c r="B28" s="1" t="s">
        <v>44</v>
      </c>
      <c r="C28" s="1" t="s">
        <v>31</v>
      </c>
      <c r="D28" s="1" t="s">
        <v>32</v>
      </c>
      <c r="E28" s="1" t="s">
        <v>14</v>
      </c>
      <c r="F28" s="1">
        <v>11</v>
      </c>
      <c r="G28" s="1">
        <v>27549.7</v>
      </c>
      <c r="H28" s="1">
        <v>27109.61</v>
      </c>
      <c r="I28" s="1">
        <v>25524.53</v>
      </c>
      <c r="J28" s="1">
        <v>28170.9</v>
      </c>
      <c r="K28" s="1">
        <v>3.76</v>
      </c>
      <c r="L28" s="1">
        <v>5.42</v>
      </c>
      <c r="M28" s="1">
        <v>0.98399999999999999</v>
      </c>
      <c r="N28" s="1">
        <v>1.0229999999999999</v>
      </c>
    </row>
    <row r="29" spans="1:14" x14ac:dyDescent="0.2">
      <c r="A29" s="1" t="s">
        <v>43</v>
      </c>
      <c r="B29" s="1" t="s">
        <v>44</v>
      </c>
      <c r="C29" s="1" t="s">
        <v>31</v>
      </c>
      <c r="D29" s="1" t="s">
        <v>32</v>
      </c>
      <c r="E29" s="1" t="s">
        <v>15</v>
      </c>
      <c r="F29" s="1">
        <v>11</v>
      </c>
      <c r="G29" s="1">
        <v>26500.91</v>
      </c>
      <c r="H29" s="1">
        <v>26641.94</v>
      </c>
      <c r="I29" s="1">
        <v>25456.49</v>
      </c>
      <c r="J29" s="1">
        <v>27603.65</v>
      </c>
      <c r="K29" s="1">
        <v>2.7</v>
      </c>
      <c r="L29" s="1">
        <v>3.87</v>
      </c>
      <c r="M29" s="1">
        <v>1.0049999999999999</v>
      </c>
      <c r="N29" s="1">
        <v>1.042</v>
      </c>
    </row>
    <row r="30" spans="1:14" x14ac:dyDescent="0.2">
      <c r="A30" s="1" t="s">
        <v>43</v>
      </c>
      <c r="B30" s="1" t="s">
        <v>44</v>
      </c>
      <c r="C30" s="1" t="s">
        <v>34</v>
      </c>
      <c r="D30" s="1" t="s">
        <v>35</v>
      </c>
      <c r="E30" s="1" t="s">
        <v>7</v>
      </c>
      <c r="F30" s="1">
        <v>11</v>
      </c>
      <c r="G30" s="1">
        <v>664279.59</v>
      </c>
      <c r="H30" s="1">
        <v>741481.48</v>
      </c>
      <c r="I30" s="1">
        <v>649083.09</v>
      </c>
      <c r="J30" s="1">
        <v>1526834.63</v>
      </c>
      <c r="K30" s="1">
        <v>35.14</v>
      </c>
      <c r="L30" s="1">
        <v>1.29</v>
      </c>
      <c r="M30" s="1">
        <v>1.1160000000000001</v>
      </c>
      <c r="N30" s="1">
        <v>2.298</v>
      </c>
    </row>
    <row r="31" spans="1:14" x14ac:dyDescent="0.2">
      <c r="A31" s="1" t="s">
        <v>43</v>
      </c>
      <c r="B31" s="1" t="s">
        <v>44</v>
      </c>
      <c r="C31" s="1" t="s">
        <v>34</v>
      </c>
      <c r="D31" s="1" t="s">
        <v>35</v>
      </c>
      <c r="E31" s="1" t="s">
        <v>14</v>
      </c>
      <c r="F31" s="1">
        <v>11</v>
      </c>
      <c r="G31" s="1">
        <v>662942.16</v>
      </c>
      <c r="H31" s="1">
        <v>753687.9</v>
      </c>
      <c r="I31" s="1">
        <v>656173.92000000004</v>
      </c>
      <c r="J31" s="1">
        <v>1660129.63</v>
      </c>
      <c r="K31" s="1">
        <v>39.89</v>
      </c>
      <c r="L31" s="1">
        <v>0.68</v>
      </c>
      <c r="M31" s="1">
        <v>1.137</v>
      </c>
      <c r="N31" s="1">
        <v>2.504</v>
      </c>
    </row>
    <row r="32" spans="1:14" x14ac:dyDescent="0.2">
      <c r="A32" s="1" t="s">
        <v>43</v>
      </c>
      <c r="B32" s="1" t="s">
        <v>44</v>
      </c>
      <c r="C32" s="1" t="s">
        <v>34</v>
      </c>
      <c r="D32" s="1" t="s">
        <v>35</v>
      </c>
      <c r="E32" s="1" t="s">
        <v>15</v>
      </c>
      <c r="F32" s="1">
        <v>11</v>
      </c>
      <c r="G32" s="1">
        <v>667225.21</v>
      </c>
      <c r="H32" s="1">
        <v>757680.06</v>
      </c>
      <c r="I32" s="1">
        <v>651861.77</v>
      </c>
      <c r="J32" s="1">
        <v>1665426.17</v>
      </c>
      <c r="K32" s="1">
        <v>39.76</v>
      </c>
      <c r="L32" s="1">
        <v>1.73</v>
      </c>
      <c r="M32" s="1">
        <v>1.1359999999999999</v>
      </c>
      <c r="N32" s="1">
        <v>2.496</v>
      </c>
    </row>
    <row r="33" spans="1:14" x14ac:dyDescent="0.2">
      <c r="A33" s="1" t="s">
        <v>43</v>
      </c>
      <c r="B33" s="1" t="s">
        <v>44</v>
      </c>
      <c r="C33" s="1" t="s">
        <v>36</v>
      </c>
      <c r="D33" s="1" t="s">
        <v>37</v>
      </c>
      <c r="E33" s="1" t="s">
        <v>38</v>
      </c>
      <c r="F33" s="1">
        <v>11</v>
      </c>
      <c r="G33" s="1">
        <v>12945.34</v>
      </c>
      <c r="H33" s="1">
        <v>12917.66</v>
      </c>
      <c r="I33" s="1">
        <v>11847.25</v>
      </c>
      <c r="J33" s="1">
        <v>13665.56</v>
      </c>
      <c r="K33" s="1">
        <v>3.94</v>
      </c>
      <c r="L33" s="1">
        <v>4.3099999999999996</v>
      </c>
      <c r="M33" s="1">
        <v>0.998</v>
      </c>
      <c r="N33" s="1">
        <v>1.056</v>
      </c>
    </row>
    <row r="34" spans="1:14" x14ac:dyDescent="0.2">
      <c r="A34" s="1" t="s">
        <v>45</v>
      </c>
      <c r="B34" s="1" t="s">
        <v>46</v>
      </c>
      <c r="C34" s="1" t="s">
        <v>31</v>
      </c>
      <c r="D34" s="1" t="s">
        <v>32</v>
      </c>
      <c r="E34" s="1" t="s">
        <v>33</v>
      </c>
      <c r="F34" s="1">
        <v>11</v>
      </c>
      <c r="G34" s="1">
        <v>173249.42</v>
      </c>
      <c r="H34" s="1">
        <v>173999.03</v>
      </c>
      <c r="I34" s="1">
        <v>167567.75</v>
      </c>
      <c r="J34" s="1">
        <v>182567.01</v>
      </c>
      <c r="K34" s="1">
        <v>2.82</v>
      </c>
      <c r="L34" s="1">
        <v>3.08</v>
      </c>
      <c r="M34" s="1">
        <v>1.004</v>
      </c>
      <c r="N34" s="1">
        <v>1.054</v>
      </c>
    </row>
    <row r="35" spans="1:14" x14ac:dyDescent="0.2">
      <c r="A35" s="1" t="s">
        <v>45</v>
      </c>
      <c r="B35" s="1" t="s">
        <v>46</v>
      </c>
      <c r="C35" s="1" t="s">
        <v>31</v>
      </c>
      <c r="D35" s="1" t="s">
        <v>32</v>
      </c>
      <c r="E35" s="1" t="s">
        <v>7</v>
      </c>
      <c r="F35" s="1">
        <v>11</v>
      </c>
      <c r="G35" s="1">
        <v>79265.75</v>
      </c>
      <c r="H35" s="1">
        <v>79817.56</v>
      </c>
      <c r="I35" s="1">
        <v>77386.05</v>
      </c>
      <c r="J35" s="1">
        <v>82131.06</v>
      </c>
      <c r="K35" s="1">
        <v>2.0299999999999998</v>
      </c>
      <c r="L35" s="1">
        <v>3.11</v>
      </c>
      <c r="M35" s="1">
        <v>1.0069999999999999</v>
      </c>
      <c r="N35" s="1">
        <v>1.036</v>
      </c>
    </row>
    <row r="36" spans="1:14" x14ac:dyDescent="0.2">
      <c r="A36" s="1" t="s">
        <v>45</v>
      </c>
      <c r="B36" s="1" t="s">
        <v>46</v>
      </c>
      <c r="C36" s="1" t="s">
        <v>31</v>
      </c>
      <c r="D36" s="1" t="s">
        <v>32</v>
      </c>
      <c r="E36" s="1" t="s">
        <v>14</v>
      </c>
      <c r="F36" s="1">
        <v>11</v>
      </c>
      <c r="G36" s="1">
        <v>158457.29</v>
      </c>
      <c r="H36" s="1">
        <v>159405.32</v>
      </c>
      <c r="I36" s="1">
        <v>154079.81</v>
      </c>
      <c r="J36" s="1">
        <v>168028.67</v>
      </c>
      <c r="K36" s="1">
        <v>2.4500000000000002</v>
      </c>
      <c r="L36" s="1">
        <v>2.75</v>
      </c>
      <c r="M36" s="1">
        <v>1.006</v>
      </c>
      <c r="N36" s="1">
        <v>1.06</v>
      </c>
    </row>
    <row r="37" spans="1:14" x14ac:dyDescent="0.2">
      <c r="A37" s="1" t="s">
        <v>45</v>
      </c>
      <c r="B37" s="1" t="s">
        <v>46</v>
      </c>
      <c r="C37" s="1" t="s">
        <v>31</v>
      </c>
      <c r="D37" s="1" t="s">
        <v>32</v>
      </c>
      <c r="E37" s="1" t="s">
        <v>15</v>
      </c>
      <c r="F37" s="1">
        <v>11</v>
      </c>
      <c r="G37" s="1">
        <v>293335.76</v>
      </c>
      <c r="H37" s="1">
        <v>291206.73</v>
      </c>
      <c r="I37" s="1">
        <v>282210.78000000003</v>
      </c>
      <c r="J37" s="1">
        <v>298833.27</v>
      </c>
      <c r="K37" s="1">
        <v>1.86</v>
      </c>
      <c r="L37" s="1">
        <v>2.2200000000000002</v>
      </c>
      <c r="M37" s="1">
        <v>0.99299999999999999</v>
      </c>
      <c r="N37" s="1">
        <v>1.0189999999999999</v>
      </c>
    </row>
    <row r="38" spans="1:14" x14ac:dyDescent="0.2">
      <c r="A38" s="1" t="s">
        <v>45</v>
      </c>
      <c r="B38" s="1" t="s">
        <v>46</v>
      </c>
      <c r="C38" s="1" t="s">
        <v>34</v>
      </c>
      <c r="D38" s="1" t="s">
        <v>35</v>
      </c>
      <c r="E38" s="1" t="s">
        <v>7</v>
      </c>
      <c r="F38" s="1">
        <v>11</v>
      </c>
      <c r="G38" s="1">
        <v>3303437.81</v>
      </c>
      <c r="H38" s="1">
        <v>3956422.26</v>
      </c>
      <c r="I38" s="1">
        <v>3227411.68</v>
      </c>
      <c r="J38" s="1">
        <v>10427344.550000001</v>
      </c>
      <c r="K38" s="1">
        <v>54.26</v>
      </c>
      <c r="L38" s="1">
        <v>2.0499999999999998</v>
      </c>
      <c r="M38" s="1">
        <v>1.198</v>
      </c>
      <c r="N38" s="1">
        <v>3.157</v>
      </c>
    </row>
    <row r="39" spans="1:14" x14ac:dyDescent="0.2">
      <c r="A39" s="1" t="s">
        <v>45</v>
      </c>
      <c r="B39" s="1" t="s">
        <v>46</v>
      </c>
      <c r="C39" s="1" t="s">
        <v>34</v>
      </c>
      <c r="D39" s="1" t="s">
        <v>35</v>
      </c>
      <c r="E39" s="1" t="s">
        <v>14</v>
      </c>
      <c r="F39" s="1">
        <v>11</v>
      </c>
      <c r="G39" s="1">
        <v>3402384.64</v>
      </c>
      <c r="H39" s="1">
        <v>4658010.4400000004</v>
      </c>
      <c r="I39" s="1">
        <v>3291666.15</v>
      </c>
      <c r="J39" s="1">
        <v>17235140.399999999</v>
      </c>
      <c r="K39" s="1">
        <v>89.56</v>
      </c>
      <c r="L39" s="1">
        <v>2.35</v>
      </c>
      <c r="M39" s="1">
        <v>1.369</v>
      </c>
      <c r="N39" s="1">
        <v>5.0659999999999998</v>
      </c>
    </row>
    <row r="40" spans="1:14" x14ac:dyDescent="0.2">
      <c r="A40" s="1" t="s">
        <v>45</v>
      </c>
      <c r="B40" s="1" t="s">
        <v>46</v>
      </c>
      <c r="C40" s="1" t="s">
        <v>34</v>
      </c>
      <c r="D40" s="1" t="s">
        <v>35</v>
      </c>
      <c r="E40" s="1" t="s">
        <v>15</v>
      </c>
      <c r="F40" s="1">
        <v>11</v>
      </c>
      <c r="G40" s="1">
        <v>3542691.54</v>
      </c>
      <c r="H40" s="1">
        <v>5518483.9400000004</v>
      </c>
      <c r="I40" s="1">
        <v>3435684.31</v>
      </c>
      <c r="J40" s="1">
        <v>25610833.149999999</v>
      </c>
      <c r="K40" s="1">
        <v>120.76</v>
      </c>
      <c r="L40" s="1">
        <v>2.02</v>
      </c>
      <c r="M40" s="1">
        <v>1.5580000000000001</v>
      </c>
      <c r="N40" s="1">
        <v>7.2290000000000001</v>
      </c>
    </row>
    <row r="41" spans="1:14" x14ac:dyDescent="0.2">
      <c r="A41" s="1" t="s">
        <v>45</v>
      </c>
      <c r="B41" s="1" t="s">
        <v>46</v>
      </c>
      <c r="C41" s="1" t="s">
        <v>36</v>
      </c>
      <c r="D41" s="1" t="s">
        <v>37</v>
      </c>
      <c r="E41" s="1" t="s">
        <v>38</v>
      </c>
      <c r="F41" s="1">
        <v>11</v>
      </c>
      <c r="G41" s="1">
        <v>98011.09</v>
      </c>
      <c r="H41" s="1">
        <v>98623.88</v>
      </c>
      <c r="I41" s="1">
        <v>95980.84</v>
      </c>
      <c r="J41" s="1">
        <v>101164.69</v>
      </c>
      <c r="K41" s="1">
        <v>2.0299999999999998</v>
      </c>
      <c r="L41" s="1">
        <v>3.55</v>
      </c>
      <c r="M41" s="1">
        <v>1.006</v>
      </c>
      <c r="N41" s="1">
        <v>1.032</v>
      </c>
    </row>
    <row r="42" spans="1:14" x14ac:dyDescent="0.2">
      <c r="A42" s="1" t="s">
        <v>47</v>
      </c>
      <c r="B42" s="1" t="s">
        <v>48</v>
      </c>
      <c r="C42" s="1" t="s">
        <v>31</v>
      </c>
      <c r="D42" s="1" t="s">
        <v>32</v>
      </c>
      <c r="E42" s="1" t="s">
        <v>33</v>
      </c>
      <c r="F42" s="1">
        <v>11</v>
      </c>
      <c r="G42" s="1">
        <v>59678.22</v>
      </c>
      <c r="H42" s="1">
        <v>60234.17</v>
      </c>
      <c r="I42" s="1">
        <v>58492.62</v>
      </c>
      <c r="J42" s="1">
        <v>67185.5</v>
      </c>
      <c r="K42" s="1">
        <v>4</v>
      </c>
      <c r="L42" s="1">
        <v>2.06</v>
      </c>
      <c r="M42" s="1">
        <v>1.0089999999999999</v>
      </c>
      <c r="N42" s="1">
        <v>1.1259999999999999</v>
      </c>
    </row>
    <row r="43" spans="1:14" x14ac:dyDescent="0.2">
      <c r="A43" s="1" t="s">
        <v>47</v>
      </c>
      <c r="B43" s="1" t="s">
        <v>48</v>
      </c>
      <c r="C43" s="1" t="s">
        <v>31</v>
      </c>
      <c r="D43" s="1" t="s">
        <v>32</v>
      </c>
      <c r="E43" s="1" t="s">
        <v>7</v>
      </c>
      <c r="F43" s="1">
        <v>11</v>
      </c>
      <c r="G43" s="1">
        <v>25529.73</v>
      </c>
      <c r="H43" s="1">
        <v>25632.55</v>
      </c>
      <c r="I43" s="1">
        <v>23523.07</v>
      </c>
      <c r="J43" s="1">
        <v>27354.880000000001</v>
      </c>
      <c r="K43" s="1">
        <v>3.71</v>
      </c>
      <c r="L43" s="1">
        <v>2.38</v>
      </c>
      <c r="M43" s="1">
        <v>1.004</v>
      </c>
      <c r="N43" s="1">
        <v>1.071</v>
      </c>
    </row>
    <row r="44" spans="1:14" x14ac:dyDescent="0.2">
      <c r="A44" s="1" t="s">
        <v>47</v>
      </c>
      <c r="B44" s="1" t="s">
        <v>48</v>
      </c>
      <c r="C44" s="1" t="s">
        <v>31</v>
      </c>
      <c r="D44" s="1" t="s">
        <v>32</v>
      </c>
      <c r="E44" s="1" t="s">
        <v>14</v>
      </c>
      <c r="F44" s="1">
        <v>11</v>
      </c>
      <c r="G44" s="1">
        <v>39176.43</v>
      </c>
      <c r="H44" s="1">
        <v>38922.31</v>
      </c>
      <c r="I44" s="1">
        <v>36239.89</v>
      </c>
      <c r="J44" s="1">
        <v>42241.2</v>
      </c>
      <c r="K44" s="1">
        <v>4.16</v>
      </c>
      <c r="L44" s="1">
        <v>4.26</v>
      </c>
      <c r="M44" s="1">
        <v>0.99399999999999999</v>
      </c>
      <c r="N44" s="1">
        <v>1.0780000000000001</v>
      </c>
    </row>
    <row r="45" spans="1:14" x14ac:dyDescent="0.2">
      <c r="A45" s="1" t="s">
        <v>47</v>
      </c>
      <c r="B45" s="1" t="s">
        <v>48</v>
      </c>
      <c r="C45" s="1" t="s">
        <v>31</v>
      </c>
      <c r="D45" s="1" t="s">
        <v>32</v>
      </c>
      <c r="E45" s="1" t="s">
        <v>15</v>
      </c>
      <c r="F45" s="1">
        <v>11</v>
      </c>
      <c r="G45" s="1">
        <v>48946.54</v>
      </c>
      <c r="H45" s="1">
        <v>49150.37</v>
      </c>
      <c r="I45" s="1">
        <v>47830.400000000001</v>
      </c>
      <c r="J45" s="1">
        <v>53146.29</v>
      </c>
      <c r="K45" s="1">
        <v>2.97</v>
      </c>
      <c r="L45" s="1">
        <v>2.09</v>
      </c>
      <c r="M45" s="1">
        <v>1.004</v>
      </c>
      <c r="N45" s="1">
        <v>1.0860000000000001</v>
      </c>
    </row>
    <row r="46" spans="1:14" x14ac:dyDescent="0.2">
      <c r="A46" s="1" t="s">
        <v>47</v>
      </c>
      <c r="B46" s="1" t="s">
        <v>48</v>
      </c>
      <c r="C46" s="1" t="s">
        <v>34</v>
      </c>
      <c r="D46" s="1" t="s">
        <v>35</v>
      </c>
      <c r="E46" s="1" t="s">
        <v>7</v>
      </c>
      <c r="F46" s="1">
        <v>11</v>
      </c>
      <c r="G46" s="1">
        <v>579951.01</v>
      </c>
      <c r="H46" s="1">
        <v>670836.02</v>
      </c>
      <c r="I46" s="1">
        <v>572158.01</v>
      </c>
      <c r="J46" s="1">
        <v>1564025.03</v>
      </c>
      <c r="K46" s="1">
        <v>44.17</v>
      </c>
      <c r="L46" s="1">
        <v>2.11</v>
      </c>
      <c r="M46" s="1">
        <v>1.157</v>
      </c>
      <c r="N46" s="1">
        <v>2.6970000000000001</v>
      </c>
    </row>
    <row r="47" spans="1:14" x14ac:dyDescent="0.2">
      <c r="A47" s="1" t="s">
        <v>47</v>
      </c>
      <c r="B47" s="1" t="s">
        <v>48</v>
      </c>
      <c r="C47" s="1" t="s">
        <v>34</v>
      </c>
      <c r="D47" s="1" t="s">
        <v>35</v>
      </c>
      <c r="E47" s="1" t="s">
        <v>14</v>
      </c>
      <c r="F47" s="1">
        <v>11</v>
      </c>
      <c r="G47" s="1">
        <v>599331.26</v>
      </c>
      <c r="H47" s="1">
        <v>751795.48</v>
      </c>
      <c r="I47" s="1">
        <v>577722.46</v>
      </c>
      <c r="J47" s="1">
        <v>2283726.2200000002</v>
      </c>
      <c r="K47" s="1">
        <v>67.59</v>
      </c>
      <c r="L47" s="1">
        <v>1.75</v>
      </c>
      <c r="M47" s="1">
        <v>1.254</v>
      </c>
      <c r="N47" s="1">
        <v>3.81</v>
      </c>
    </row>
    <row r="48" spans="1:14" x14ac:dyDescent="0.2">
      <c r="A48" s="1" t="s">
        <v>47</v>
      </c>
      <c r="B48" s="1" t="s">
        <v>48</v>
      </c>
      <c r="C48" s="1" t="s">
        <v>34</v>
      </c>
      <c r="D48" s="1" t="s">
        <v>35</v>
      </c>
      <c r="E48" s="1" t="s">
        <v>15</v>
      </c>
      <c r="F48" s="1">
        <v>11</v>
      </c>
      <c r="G48" s="1">
        <v>614102.9</v>
      </c>
      <c r="H48" s="1">
        <v>825361.17</v>
      </c>
      <c r="I48" s="1">
        <v>599360.44999999995</v>
      </c>
      <c r="J48" s="1">
        <v>2965674.71</v>
      </c>
      <c r="K48" s="1">
        <v>86.01</v>
      </c>
      <c r="L48" s="1">
        <v>1.82</v>
      </c>
      <c r="M48" s="1">
        <v>1.3440000000000001</v>
      </c>
      <c r="N48" s="1">
        <v>4.8289999999999997</v>
      </c>
    </row>
    <row r="49" spans="1:14" x14ac:dyDescent="0.2">
      <c r="A49" s="1" t="s">
        <v>47</v>
      </c>
      <c r="B49" s="1" t="s">
        <v>48</v>
      </c>
      <c r="C49" s="1" t="s">
        <v>36</v>
      </c>
      <c r="D49" s="1" t="s">
        <v>37</v>
      </c>
      <c r="E49" s="1" t="s">
        <v>38</v>
      </c>
      <c r="F49" s="1">
        <v>11</v>
      </c>
      <c r="G49" s="1">
        <v>32727.1</v>
      </c>
      <c r="H49" s="1">
        <v>32926.36</v>
      </c>
      <c r="I49" s="1">
        <v>31569.48</v>
      </c>
      <c r="J49" s="1">
        <v>34500.300000000003</v>
      </c>
      <c r="K49" s="1">
        <v>2.81</v>
      </c>
      <c r="L49" s="1">
        <v>3.14</v>
      </c>
      <c r="M49" s="1">
        <v>1.006</v>
      </c>
      <c r="N49" s="1">
        <v>1.054</v>
      </c>
    </row>
    <row r="50" spans="1:14" x14ac:dyDescent="0.2">
      <c r="A50" s="1" t="s">
        <v>49</v>
      </c>
      <c r="B50" s="1" t="s">
        <v>50</v>
      </c>
      <c r="C50" s="1" t="s">
        <v>31</v>
      </c>
      <c r="D50" s="1" t="s">
        <v>32</v>
      </c>
      <c r="E50" s="1" t="s">
        <v>33</v>
      </c>
      <c r="F50" s="1">
        <v>11</v>
      </c>
      <c r="G50" s="1">
        <v>43942040.219999999</v>
      </c>
      <c r="H50" s="1">
        <v>44072936.909999996</v>
      </c>
      <c r="I50" s="1">
        <v>43433512.990000002</v>
      </c>
      <c r="J50" s="1">
        <v>44869250.130000003</v>
      </c>
      <c r="K50" s="1">
        <v>1.1399999999999999</v>
      </c>
      <c r="L50" s="1">
        <v>1.75</v>
      </c>
      <c r="M50" s="1">
        <v>1.0029999999999999</v>
      </c>
      <c r="N50" s="1">
        <v>1.0209999999999999</v>
      </c>
    </row>
    <row r="51" spans="1:14" x14ac:dyDescent="0.2">
      <c r="A51" s="1" t="s">
        <v>49</v>
      </c>
      <c r="B51" s="1" t="s">
        <v>50</v>
      </c>
      <c r="C51" s="1" t="s">
        <v>31</v>
      </c>
      <c r="D51" s="1" t="s">
        <v>32</v>
      </c>
      <c r="E51" s="1" t="s">
        <v>7</v>
      </c>
      <c r="F51" s="1">
        <v>11</v>
      </c>
      <c r="G51" s="1">
        <v>645486.98</v>
      </c>
      <c r="H51" s="1">
        <v>641933.47</v>
      </c>
      <c r="I51" s="1">
        <v>625194.17000000004</v>
      </c>
      <c r="J51" s="1">
        <v>663217.49</v>
      </c>
      <c r="K51" s="1">
        <v>1.96</v>
      </c>
      <c r="L51" s="1">
        <v>3.29</v>
      </c>
      <c r="M51" s="1">
        <v>0.99399999999999999</v>
      </c>
      <c r="N51" s="1">
        <v>1.0269999999999999</v>
      </c>
    </row>
    <row r="52" spans="1:14" x14ac:dyDescent="0.2">
      <c r="A52" s="1" t="s">
        <v>49</v>
      </c>
      <c r="B52" s="1" t="s">
        <v>50</v>
      </c>
      <c r="C52" s="1" t="s">
        <v>31</v>
      </c>
      <c r="D52" s="1" t="s">
        <v>32</v>
      </c>
      <c r="E52" s="1" t="s">
        <v>14</v>
      </c>
      <c r="F52" s="1">
        <v>11</v>
      </c>
      <c r="G52" s="1">
        <v>1235627.45</v>
      </c>
      <c r="H52" s="1">
        <v>1232943.42</v>
      </c>
      <c r="I52" s="1">
        <v>1200462.2</v>
      </c>
      <c r="J52" s="1">
        <v>1271183.67</v>
      </c>
      <c r="K52" s="1">
        <v>1.66</v>
      </c>
      <c r="L52" s="1">
        <v>2.2200000000000002</v>
      </c>
      <c r="M52" s="1">
        <v>0.998</v>
      </c>
      <c r="N52" s="1">
        <v>1.0289999999999999</v>
      </c>
    </row>
    <row r="53" spans="1:14" x14ac:dyDescent="0.2">
      <c r="A53" s="1" t="s">
        <v>49</v>
      </c>
      <c r="B53" s="1" t="s">
        <v>50</v>
      </c>
      <c r="C53" s="1" t="s">
        <v>31</v>
      </c>
      <c r="D53" s="1" t="s">
        <v>32</v>
      </c>
      <c r="E53" s="1" t="s">
        <v>15</v>
      </c>
      <c r="F53" s="1">
        <v>11</v>
      </c>
      <c r="G53" s="1">
        <v>2059771.21</v>
      </c>
      <c r="H53" s="1">
        <v>2059453.86</v>
      </c>
      <c r="I53" s="1">
        <v>2013697.98</v>
      </c>
      <c r="J53" s="1">
        <v>2132528.4700000002</v>
      </c>
      <c r="K53" s="1">
        <v>1.49</v>
      </c>
      <c r="L53" s="1">
        <v>0.88</v>
      </c>
      <c r="M53" s="1">
        <v>1</v>
      </c>
      <c r="N53" s="1">
        <v>1.0349999999999999</v>
      </c>
    </row>
    <row r="54" spans="1:14" x14ac:dyDescent="0.2">
      <c r="A54" s="1" t="s">
        <v>49</v>
      </c>
      <c r="B54" s="1" t="s">
        <v>50</v>
      </c>
      <c r="C54" s="1" t="s">
        <v>34</v>
      </c>
      <c r="D54" s="1" t="s">
        <v>35</v>
      </c>
      <c r="E54" s="1" t="s">
        <v>7</v>
      </c>
      <c r="F54" s="1">
        <v>11</v>
      </c>
      <c r="G54" s="1">
        <v>809451.26</v>
      </c>
      <c r="H54" s="1">
        <v>858587.62</v>
      </c>
      <c r="I54" s="1">
        <v>792811.51</v>
      </c>
      <c r="J54" s="1">
        <v>1375504.07</v>
      </c>
      <c r="K54" s="1">
        <v>20</v>
      </c>
      <c r="L54" s="1">
        <v>2.14</v>
      </c>
      <c r="M54" s="1">
        <v>1.0609999999999999</v>
      </c>
      <c r="N54" s="1">
        <v>1.6990000000000001</v>
      </c>
    </row>
    <row r="55" spans="1:14" x14ac:dyDescent="0.2">
      <c r="A55" s="1" t="s">
        <v>49</v>
      </c>
      <c r="B55" s="1" t="s">
        <v>50</v>
      </c>
      <c r="C55" s="1" t="s">
        <v>34</v>
      </c>
      <c r="D55" s="1" t="s">
        <v>35</v>
      </c>
      <c r="E55" s="1" t="s">
        <v>14</v>
      </c>
      <c r="F55" s="1">
        <v>11</v>
      </c>
      <c r="G55" s="1">
        <v>861791.93</v>
      </c>
      <c r="H55" s="1">
        <v>1028394.15</v>
      </c>
      <c r="I55" s="1">
        <v>848557.33</v>
      </c>
      <c r="J55" s="1">
        <v>2701666.66</v>
      </c>
      <c r="K55" s="1">
        <v>53.97</v>
      </c>
      <c r="L55" s="1">
        <v>1.1000000000000001</v>
      </c>
      <c r="M55" s="1">
        <v>1.1930000000000001</v>
      </c>
      <c r="N55" s="1">
        <v>3.1349999999999998</v>
      </c>
    </row>
    <row r="56" spans="1:14" x14ac:dyDescent="0.2">
      <c r="A56" s="1" t="s">
        <v>49</v>
      </c>
      <c r="B56" s="1" t="s">
        <v>50</v>
      </c>
      <c r="C56" s="1" t="s">
        <v>34</v>
      </c>
      <c r="D56" s="1" t="s">
        <v>35</v>
      </c>
      <c r="E56" s="1" t="s">
        <v>15</v>
      </c>
      <c r="F56" s="1">
        <v>11</v>
      </c>
      <c r="G56" s="1">
        <v>923838.34</v>
      </c>
      <c r="H56" s="1">
        <v>1366313.78</v>
      </c>
      <c r="I56" s="1">
        <v>898205.53</v>
      </c>
      <c r="J56" s="1">
        <v>5828258.04</v>
      </c>
      <c r="K56" s="1">
        <v>108.31</v>
      </c>
      <c r="L56" s="1">
        <v>1.86</v>
      </c>
      <c r="M56" s="1">
        <v>1.4790000000000001</v>
      </c>
      <c r="N56" s="1">
        <v>6.3090000000000002</v>
      </c>
    </row>
    <row r="57" spans="1:14" x14ac:dyDescent="0.2">
      <c r="A57" s="1" t="s">
        <v>49</v>
      </c>
      <c r="B57" s="1" t="s">
        <v>50</v>
      </c>
      <c r="C57" s="1" t="s">
        <v>36</v>
      </c>
      <c r="D57" s="1" t="s">
        <v>37</v>
      </c>
      <c r="E57" s="1" t="s">
        <v>38</v>
      </c>
      <c r="F57" s="1">
        <v>11</v>
      </c>
      <c r="G57" s="1">
        <v>730312.11</v>
      </c>
      <c r="H57" s="1">
        <v>731115.09</v>
      </c>
      <c r="I57" s="1">
        <v>709301.54</v>
      </c>
      <c r="J57" s="1">
        <v>744261.74</v>
      </c>
      <c r="K57" s="1">
        <v>1.39</v>
      </c>
      <c r="L57" s="1">
        <v>1.54</v>
      </c>
      <c r="M57" s="1">
        <v>1.0009999999999999</v>
      </c>
      <c r="N57" s="1">
        <v>1.0189999999999999</v>
      </c>
    </row>
    <row r="58" spans="1:14" x14ac:dyDescent="0.2">
      <c r="A58" s="1" t="s">
        <v>51</v>
      </c>
      <c r="B58" s="1" t="s">
        <v>52</v>
      </c>
      <c r="C58" s="1" t="s">
        <v>31</v>
      </c>
      <c r="D58" s="1" t="s">
        <v>32</v>
      </c>
      <c r="E58" s="1" t="s">
        <v>33</v>
      </c>
      <c r="F58" s="1">
        <v>11</v>
      </c>
      <c r="G58" s="1">
        <v>63432.81</v>
      </c>
      <c r="H58" s="1">
        <v>63346.21</v>
      </c>
      <c r="I58" s="1">
        <v>59503.25</v>
      </c>
      <c r="J58" s="1">
        <v>65344.15</v>
      </c>
      <c r="K58" s="1">
        <v>2.46</v>
      </c>
      <c r="L58" s="1">
        <v>2.4</v>
      </c>
      <c r="M58" s="1">
        <v>0.999</v>
      </c>
      <c r="N58" s="1">
        <v>1.03</v>
      </c>
    </row>
    <row r="59" spans="1:14" x14ac:dyDescent="0.2">
      <c r="A59" s="1" t="s">
        <v>51</v>
      </c>
      <c r="B59" s="1" t="s">
        <v>52</v>
      </c>
      <c r="C59" s="1" t="s">
        <v>31</v>
      </c>
      <c r="D59" s="1" t="s">
        <v>32</v>
      </c>
      <c r="E59" s="1" t="s">
        <v>7</v>
      </c>
      <c r="F59" s="1">
        <v>11</v>
      </c>
      <c r="G59" s="1">
        <v>32564.04</v>
      </c>
      <c r="H59" s="1">
        <v>32707.4</v>
      </c>
      <c r="I59" s="1">
        <v>30437.81</v>
      </c>
      <c r="J59" s="1">
        <v>35507.42</v>
      </c>
      <c r="K59" s="1">
        <v>3.71</v>
      </c>
      <c r="L59" s="1">
        <v>1.76</v>
      </c>
      <c r="M59" s="1">
        <v>1.004</v>
      </c>
      <c r="N59" s="1">
        <v>1.0900000000000001</v>
      </c>
    </row>
    <row r="60" spans="1:14" x14ac:dyDescent="0.2">
      <c r="A60" s="1" t="s">
        <v>51</v>
      </c>
      <c r="B60" s="1" t="s">
        <v>52</v>
      </c>
      <c r="C60" s="1" t="s">
        <v>31</v>
      </c>
      <c r="D60" s="1" t="s">
        <v>32</v>
      </c>
      <c r="E60" s="1" t="s">
        <v>14</v>
      </c>
      <c r="F60" s="1">
        <v>11</v>
      </c>
      <c r="G60" s="1">
        <v>48995.76</v>
      </c>
      <c r="H60" s="1">
        <v>49850.7</v>
      </c>
      <c r="I60" s="1">
        <v>47187.22</v>
      </c>
      <c r="J60" s="1">
        <v>53333.31</v>
      </c>
      <c r="K60" s="1">
        <v>4.24</v>
      </c>
      <c r="L60" s="1">
        <v>6.72</v>
      </c>
      <c r="M60" s="1">
        <v>1.0169999999999999</v>
      </c>
      <c r="N60" s="1">
        <v>1.089</v>
      </c>
    </row>
    <row r="61" spans="1:14" x14ac:dyDescent="0.2">
      <c r="A61" s="1" t="s">
        <v>51</v>
      </c>
      <c r="B61" s="1" t="s">
        <v>52</v>
      </c>
      <c r="C61" s="1" t="s">
        <v>31</v>
      </c>
      <c r="D61" s="1" t="s">
        <v>32</v>
      </c>
      <c r="E61" s="1" t="s">
        <v>15</v>
      </c>
      <c r="F61" s="1">
        <v>11</v>
      </c>
      <c r="G61" s="1">
        <v>61192.83</v>
      </c>
      <c r="H61" s="1">
        <v>61217.55</v>
      </c>
      <c r="I61" s="1">
        <v>58436.07</v>
      </c>
      <c r="J61" s="1">
        <v>65810.080000000002</v>
      </c>
      <c r="K61" s="1">
        <v>3.39</v>
      </c>
      <c r="L61" s="1">
        <v>3.71</v>
      </c>
      <c r="M61" s="1">
        <v>1</v>
      </c>
      <c r="N61" s="1">
        <v>1.075</v>
      </c>
    </row>
    <row r="62" spans="1:14" x14ac:dyDescent="0.2">
      <c r="A62" s="1" t="s">
        <v>51</v>
      </c>
      <c r="B62" s="1" t="s">
        <v>52</v>
      </c>
      <c r="C62" s="1" t="s">
        <v>34</v>
      </c>
      <c r="D62" s="1" t="s">
        <v>35</v>
      </c>
      <c r="E62" s="1" t="s">
        <v>7</v>
      </c>
      <c r="F62" s="1">
        <v>11</v>
      </c>
      <c r="G62" s="1">
        <v>684224.61</v>
      </c>
      <c r="H62" s="1">
        <v>754705.68</v>
      </c>
      <c r="I62" s="1">
        <v>662907.34</v>
      </c>
      <c r="J62" s="1">
        <v>1490940.33</v>
      </c>
      <c r="K62" s="1">
        <v>32.380000000000003</v>
      </c>
      <c r="L62" s="1">
        <v>2.6</v>
      </c>
      <c r="M62" s="1">
        <v>1.103</v>
      </c>
      <c r="N62" s="1">
        <v>2.1789999999999998</v>
      </c>
    </row>
    <row r="63" spans="1:14" x14ac:dyDescent="0.2">
      <c r="A63" s="1" t="s">
        <v>51</v>
      </c>
      <c r="B63" s="1" t="s">
        <v>52</v>
      </c>
      <c r="C63" s="1" t="s">
        <v>34</v>
      </c>
      <c r="D63" s="1" t="s">
        <v>35</v>
      </c>
      <c r="E63" s="1" t="s">
        <v>14</v>
      </c>
      <c r="F63" s="1">
        <v>11</v>
      </c>
      <c r="G63" s="1">
        <v>695590.74</v>
      </c>
      <c r="H63" s="1">
        <v>804816.42</v>
      </c>
      <c r="I63" s="1">
        <v>684050.91</v>
      </c>
      <c r="J63" s="1">
        <v>1878476.05</v>
      </c>
      <c r="K63" s="1">
        <v>44.27</v>
      </c>
      <c r="L63" s="1">
        <v>3.06</v>
      </c>
      <c r="M63" s="1">
        <v>1.157</v>
      </c>
      <c r="N63" s="1">
        <v>2.7010000000000001</v>
      </c>
    </row>
    <row r="64" spans="1:14" x14ac:dyDescent="0.2">
      <c r="A64" s="1" t="s">
        <v>51</v>
      </c>
      <c r="B64" s="1" t="s">
        <v>52</v>
      </c>
      <c r="C64" s="1" t="s">
        <v>34</v>
      </c>
      <c r="D64" s="1" t="s">
        <v>35</v>
      </c>
      <c r="E64" s="1" t="s">
        <v>15</v>
      </c>
      <c r="F64" s="1">
        <v>11</v>
      </c>
      <c r="G64" s="1">
        <v>709146.3</v>
      </c>
      <c r="H64" s="1">
        <v>866948.8</v>
      </c>
      <c r="I64" s="1">
        <v>695223.77</v>
      </c>
      <c r="J64" s="1">
        <v>2424193.7000000002</v>
      </c>
      <c r="K64" s="1">
        <v>59.59</v>
      </c>
      <c r="L64" s="1">
        <v>2.2599999999999998</v>
      </c>
      <c r="M64" s="1">
        <v>1.2230000000000001</v>
      </c>
      <c r="N64" s="1">
        <v>3.4180000000000001</v>
      </c>
    </row>
    <row r="65" spans="1:14" x14ac:dyDescent="0.2">
      <c r="A65" s="1" t="s">
        <v>51</v>
      </c>
      <c r="B65" s="1" t="s">
        <v>52</v>
      </c>
      <c r="C65" s="1" t="s">
        <v>36</v>
      </c>
      <c r="D65" s="1" t="s">
        <v>37</v>
      </c>
      <c r="E65" s="1" t="s">
        <v>38</v>
      </c>
      <c r="F65" s="1">
        <v>11</v>
      </c>
      <c r="G65" s="1">
        <v>383391.07</v>
      </c>
      <c r="H65" s="1">
        <v>382993.91999999998</v>
      </c>
      <c r="I65" s="1">
        <v>370406.36</v>
      </c>
      <c r="J65" s="1">
        <v>396289.21</v>
      </c>
      <c r="K65" s="1">
        <v>2.2200000000000002</v>
      </c>
      <c r="L65" s="1">
        <v>2.42</v>
      </c>
      <c r="M65" s="1">
        <v>0.999</v>
      </c>
      <c r="N65" s="1">
        <v>1.034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11.33203125" style="1" bestFit="1" customWidth="1"/>
    <col min="2" max="2" width="13" style="1" bestFit="1" customWidth="1"/>
    <col min="3" max="3" width="10.5" style="1" bestFit="1" customWidth="1"/>
    <col min="4" max="4" width="13.6640625" style="1" bestFit="1" customWidth="1"/>
    <col min="5" max="5" width="11.1640625" style="1" bestFit="1" customWidth="1"/>
    <col min="6" max="6" width="21.83203125" style="1" bestFit="1" customWidth="1"/>
    <col min="7" max="7" width="19.1640625" style="1" bestFit="1" customWidth="1"/>
    <col min="8" max="16384" width="8.83203125" style="1"/>
  </cols>
  <sheetData>
    <row r="1" spans="1:7" x14ac:dyDescent="0.2">
      <c r="A1" s="1" t="s">
        <v>18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">
      <c r="A2" s="1" t="s">
        <v>34</v>
      </c>
      <c r="B2" s="1">
        <v>43.56</v>
      </c>
      <c r="C2" s="1">
        <v>120.76</v>
      </c>
      <c r="D2" s="1">
        <v>2.2999999999999998</v>
      </c>
      <c r="E2" s="1">
        <v>30.54</v>
      </c>
      <c r="F2" s="1">
        <v>2.65</v>
      </c>
      <c r="G2" s="1">
        <v>7.23</v>
      </c>
    </row>
    <row r="3" spans="1:7" x14ac:dyDescent="0.2">
      <c r="A3" s="1" t="s">
        <v>31</v>
      </c>
      <c r="B3" s="1">
        <v>3.9</v>
      </c>
      <c r="C3" s="1">
        <v>15.77</v>
      </c>
      <c r="D3" s="1">
        <v>4.13</v>
      </c>
      <c r="E3" s="1">
        <v>17.27</v>
      </c>
      <c r="F3" s="1">
        <v>1.08</v>
      </c>
      <c r="G3" s="1">
        <v>1.38</v>
      </c>
    </row>
    <row r="4" spans="1:7" x14ac:dyDescent="0.2">
      <c r="A4" s="1" t="s">
        <v>36</v>
      </c>
      <c r="B4" s="1">
        <v>3.38</v>
      </c>
      <c r="C4" s="1">
        <v>15.68</v>
      </c>
      <c r="D4" s="1">
        <v>3.93</v>
      </c>
      <c r="E4" s="1">
        <v>17.53</v>
      </c>
      <c r="F4" s="1">
        <v>1.06</v>
      </c>
      <c r="G4" s="1">
        <v>1.44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2"/>
  <sheetViews>
    <sheetView workbookViewId="0">
      <selection activeCell="G9" sqref="A1:N22"/>
    </sheetView>
  </sheetViews>
  <sheetFormatPr baseColWidth="10" defaultColWidth="8.83203125" defaultRowHeight="15" x14ac:dyDescent="0.2"/>
  <cols>
    <col min="4" max="4" width="15.33203125" bestFit="1" customWidth="1"/>
    <col min="5" max="5" width="5" bestFit="1" customWidth="1"/>
    <col min="7" max="9" width="11.1640625" bestFit="1" customWidth="1"/>
    <col min="10" max="10" width="12.1640625" bestFit="1" customWidth="1"/>
    <col min="11" max="12" width="7.1640625" bestFit="1" customWidth="1"/>
    <col min="13" max="13" width="16" bestFit="1" customWidth="1"/>
    <col min="14" max="14" width="15" bestFit="1" customWidth="1"/>
  </cols>
  <sheetData>
    <row r="1" spans="1:14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0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x14ac:dyDescent="0.2">
      <c r="A2" s="1" t="s">
        <v>45</v>
      </c>
      <c r="B2" s="1" t="s">
        <v>46</v>
      </c>
      <c r="C2" s="1" t="s">
        <v>34</v>
      </c>
      <c r="D2" s="1" t="s">
        <v>35</v>
      </c>
      <c r="E2" s="1" t="s">
        <v>15</v>
      </c>
      <c r="F2" s="1">
        <v>11</v>
      </c>
      <c r="G2" s="1">
        <v>3542691.54</v>
      </c>
      <c r="H2" s="1">
        <v>5518483.9400000004</v>
      </c>
      <c r="I2" s="1">
        <v>3435684.31</v>
      </c>
      <c r="J2" s="1">
        <v>25610833.149999999</v>
      </c>
      <c r="K2" s="1">
        <v>120.76</v>
      </c>
      <c r="L2" s="1">
        <v>2.02</v>
      </c>
      <c r="M2" s="1">
        <v>1.5580000000000001</v>
      </c>
      <c r="N2" s="1">
        <v>7.2290000000000001</v>
      </c>
    </row>
    <row r="3" spans="1:14" x14ac:dyDescent="0.2">
      <c r="A3" s="1" t="s">
        <v>41</v>
      </c>
      <c r="B3" s="1" t="s">
        <v>42</v>
      </c>
      <c r="C3" s="1" t="s">
        <v>34</v>
      </c>
      <c r="D3" s="1" t="s">
        <v>35</v>
      </c>
      <c r="E3" s="1" t="s">
        <v>15</v>
      </c>
      <c r="F3" s="1">
        <v>11</v>
      </c>
      <c r="G3" s="1">
        <v>42370.22</v>
      </c>
      <c r="H3" s="1">
        <v>65490.82</v>
      </c>
      <c r="I3" s="1">
        <v>41282.57</v>
      </c>
      <c r="J3" s="1">
        <v>289709.39</v>
      </c>
      <c r="K3" s="1">
        <v>113.59</v>
      </c>
      <c r="L3" s="1">
        <v>6.47</v>
      </c>
      <c r="M3" s="1">
        <v>1.546</v>
      </c>
      <c r="N3" s="1">
        <v>6.8380000000000001</v>
      </c>
    </row>
    <row r="4" spans="1:14" x14ac:dyDescent="0.2">
      <c r="A4" s="1" t="s">
        <v>49</v>
      </c>
      <c r="B4" s="1" t="s">
        <v>50</v>
      </c>
      <c r="C4" s="1" t="s">
        <v>34</v>
      </c>
      <c r="D4" s="1" t="s">
        <v>35</v>
      </c>
      <c r="E4" s="1" t="s">
        <v>15</v>
      </c>
      <c r="F4" s="1">
        <v>11</v>
      </c>
      <c r="G4" s="1">
        <v>923838.34</v>
      </c>
      <c r="H4" s="1">
        <v>1366313.78</v>
      </c>
      <c r="I4" s="1">
        <v>898205.53</v>
      </c>
      <c r="J4" s="1">
        <v>5828258.04</v>
      </c>
      <c r="K4" s="1">
        <v>108.31</v>
      </c>
      <c r="L4" s="1">
        <v>1.86</v>
      </c>
      <c r="M4" s="1">
        <v>1.4790000000000001</v>
      </c>
      <c r="N4" s="1">
        <v>6.3090000000000002</v>
      </c>
    </row>
    <row r="5" spans="1:14" x14ac:dyDescent="0.2">
      <c r="A5" s="1" t="s">
        <v>41</v>
      </c>
      <c r="B5" s="1" t="s">
        <v>42</v>
      </c>
      <c r="C5" s="1" t="s">
        <v>34</v>
      </c>
      <c r="D5" s="1" t="s">
        <v>35</v>
      </c>
      <c r="E5" s="1" t="s">
        <v>14</v>
      </c>
      <c r="F5" s="1">
        <v>11</v>
      </c>
      <c r="G5" s="1">
        <v>41895.550000000003</v>
      </c>
      <c r="H5" s="1">
        <v>57876.6</v>
      </c>
      <c r="I5" s="1">
        <v>38694.339999999997</v>
      </c>
      <c r="J5" s="1">
        <v>221899.28</v>
      </c>
      <c r="K5" s="1">
        <v>94.01</v>
      </c>
      <c r="L5" s="1">
        <v>2.78</v>
      </c>
      <c r="M5" s="1">
        <v>1.381</v>
      </c>
      <c r="N5" s="1">
        <v>5.2960000000000003</v>
      </c>
    </row>
    <row r="6" spans="1:14" x14ac:dyDescent="0.2">
      <c r="A6" s="1" t="s">
        <v>45</v>
      </c>
      <c r="B6" s="1" t="s">
        <v>46</v>
      </c>
      <c r="C6" s="1" t="s">
        <v>34</v>
      </c>
      <c r="D6" s="1" t="s">
        <v>35</v>
      </c>
      <c r="E6" s="1" t="s">
        <v>14</v>
      </c>
      <c r="F6" s="1">
        <v>11</v>
      </c>
      <c r="G6" s="1">
        <v>3402384.64</v>
      </c>
      <c r="H6" s="1">
        <v>4658010.4400000004</v>
      </c>
      <c r="I6" s="1">
        <v>3291666.15</v>
      </c>
      <c r="J6" s="1">
        <v>17235140.399999999</v>
      </c>
      <c r="K6" s="1">
        <v>89.56</v>
      </c>
      <c r="L6" s="1">
        <v>2.35</v>
      </c>
      <c r="M6" s="1">
        <v>1.369</v>
      </c>
      <c r="N6" s="1">
        <v>5.0659999999999998</v>
      </c>
    </row>
    <row r="7" spans="1:14" x14ac:dyDescent="0.2">
      <c r="A7" s="1" t="s">
        <v>47</v>
      </c>
      <c r="B7" s="1" t="s">
        <v>48</v>
      </c>
      <c r="C7" s="1" t="s">
        <v>34</v>
      </c>
      <c r="D7" s="1" t="s">
        <v>35</v>
      </c>
      <c r="E7" s="1" t="s">
        <v>15</v>
      </c>
      <c r="F7" s="1">
        <v>11</v>
      </c>
      <c r="G7" s="1">
        <v>614102.9</v>
      </c>
      <c r="H7" s="1">
        <v>825361.17</v>
      </c>
      <c r="I7" s="1">
        <v>599360.44999999995</v>
      </c>
      <c r="J7" s="1">
        <v>2965674.71</v>
      </c>
      <c r="K7" s="1">
        <v>86.01</v>
      </c>
      <c r="L7" s="1">
        <v>1.82</v>
      </c>
      <c r="M7" s="1">
        <v>1.3440000000000001</v>
      </c>
      <c r="N7" s="1">
        <v>4.8289999999999997</v>
      </c>
    </row>
    <row r="8" spans="1:14" x14ac:dyDescent="0.2">
      <c r="A8" s="1" t="s">
        <v>47</v>
      </c>
      <c r="B8" s="1" t="s">
        <v>48</v>
      </c>
      <c r="C8" s="1" t="s">
        <v>34</v>
      </c>
      <c r="D8" s="1" t="s">
        <v>35</v>
      </c>
      <c r="E8" s="1" t="s">
        <v>14</v>
      </c>
      <c r="F8" s="1">
        <v>11</v>
      </c>
      <c r="G8" s="1">
        <v>599331.26</v>
      </c>
      <c r="H8" s="1">
        <v>751795.48</v>
      </c>
      <c r="I8" s="1">
        <v>577722.46</v>
      </c>
      <c r="J8" s="1">
        <v>2283726.2200000002</v>
      </c>
      <c r="K8" s="1">
        <v>67.59</v>
      </c>
      <c r="L8" s="1">
        <v>1.75</v>
      </c>
      <c r="M8" s="1">
        <v>1.254</v>
      </c>
      <c r="N8" s="1">
        <v>3.81</v>
      </c>
    </row>
    <row r="9" spans="1:14" x14ac:dyDescent="0.2">
      <c r="A9" s="1" t="s">
        <v>51</v>
      </c>
      <c r="B9" s="1" t="s">
        <v>52</v>
      </c>
      <c r="C9" s="1" t="s">
        <v>34</v>
      </c>
      <c r="D9" s="1" t="s">
        <v>35</v>
      </c>
      <c r="E9" s="1" t="s">
        <v>15</v>
      </c>
      <c r="F9" s="1">
        <v>11</v>
      </c>
      <c r="G9" s="1">
        <v>709146.3</v>
      </c>
      <c r="H9" s="1">
        <v>866948.8</v>
      </c>
      <c r="I9" s="1">
        <v>695223.77</v>
      </c>
      <c r="J9" s="1">
        <v>2424193.7000000002</v>
      </c>
      <c r="K9" s="1">
        <v>59.59</v>
      </c>
      <c r="L9" s="1">
        <v>2.2599999999999998</v>
      </c>
      <c r="M9" s="1">
        <v>1.2230000000000001</v>
      </c>
      <c r="N9" s="1">
        <v>3.4180000000000001</v>
      </c>
    </row>
    <row r="10" spans="1:14" x14ac:dyDescent="0.2">
      <c r="A10" s="1" t="s">
        <v>45</v>
      </c>
      <c r="B10" s="1" t="s">
        <v>46</v>
      </c>
      <c r="C10" s="1" t="s">
        <v>34</v>
      </c>
      <c r="D10" s="1" t="s">
        <v>35</v>
      </c>
      <c r="E10" s="1" t="s">
        <v>7</v>
      </c>
      <c r="F10" s="1">
        <v>11</v>
      </c>
      <c r="G10" s="1">
        <v>3303437.81</v>
      </c>
      <c r="H10" s="1">
        <v>3956422.26</v>
      </c>
      <c r="I10" s="1">
        <v>3227411.68</v>
      </c>
      <c r="J10" s="1">
        <v>10427344.550000001</v>
      </c>
      <c r="K10" s="1">
        <v>54.26</v>
      </c>
      <c r="L10" s="1">
        <v>2.0499999999999998</v>
      </c>
      <c r="M10" s="1">
        <v>1.198</v>
      </c>
      <c r="N10" s="1">
        <v>3.157</v>
      </c>
    </row>
    <row r="11" spans="1:14" x14ac:dyDescent="0.2">
      <c r="A11" s="1" t="s">
        <v>49</v>
      </c>
      <c r="B11" s="1" t="s">
        <v>50</v>
      </c>
      <c r="C11" s="1" t="s">
        <v>34</v>
      </c>
      <c r="D11" s="1" t="s">
        <v>35</v>
      </c>
      <c r="E11" s="1" t="s">
        <v>14</v>
      </c>
      <c r="F11" s="1">
        <v>11</v>
      </c>
      <c r="G11" s="1">
        <v>861791.93</v>
      </c>
      <c r="H11" s="1">
        <v>1028394.15</v>
      </c>
      <c r="I11" s="1">
        <v>848557.33</v>
      </c>
      <c r="J11" s="1">
        <v>2701666.66</v>
      </c>
      <c r="K11" s="1">
        <v>53.97</v>
      </c>
      <c r="L11" s="1">
        <v>1.1000000000000001</v>
      </c>
      <c r="M11" s="1">
        <v>1.1930000000000001</v>
      </c>
      <c r="N11" s="1">
        <v>3.1349999999999998</v>
      </c>
    </row>
    <row r="12" spans="1:14" x14ac:dyDescent="0.2">
      <c r="A12" s="1" t="s">
        <v>51</v>
      </c>
      <c r="B12" s="1" t="s">
        <v>52</v>
      </c>
      <c r="C12" s="1" t="s">
        <v>34</v>
      </c>
      <c r="D12" s="1" t="s">
        <v>35</v>
      </c>
      <c r="E12" s="1" t="s">
        <v>14</v>
      </c>
      <c r="F12" s="1">
        <v>11</v>
      </c>
      <c r="G12" s="1">
        <v>695590.74</v>
      </c>
      <c r="H12" s="1">
        <v>804816.42</v>
      </c>
      <c r="I12" s="1">
        <v>684050.91</v>
      </c>
      <c r="J12" s="1">
        <v>1878476.05</v>
      </c>
      <c r="K12" s="1">
        <v>44.27</v>
      </c>
      <c r="L12" s="1">
        <v>3.06</v>
      </c>
      <c r="M12" s="1">
        <v>1.157</v>
      </c>
      <c r="N12" s="1">
        <v>2.7010000000000001</v>
      </c>
    </row>
    <row r="13" spans="1:14" x14ac:dyDescent="0.2">
      <c r="A13" s="1" t="s">
        <v>47</v>
      </c>
      <c r="B13" s="1" t="s">
        <v>48</v>
      </c>
      <c r="C13" s="1" t="s">
        <v>34</v>
      </c>
      <c r="D13" s="1" t="s">
        <v>35</v>
      </c>
      <c r="E13" s="1" t="s">
        <v>7</v>
      </c>
      <c r="F13" s="1">
        <v>11</v>
      </c>
      <c r="G13" s="1">
        <v>579951.01</v>
      </c>
      <c r="H13" s="1">
        <v>670836.02</v>
      </c>
      <c r="I13" s="1">
        <v>572158.01</v>
      </c>
      <c r="J13" s="1">
        <v>1564025.03</v>
      </c>
      <c r="K13" s="1">
        <v>44.17</v>
      </c>
      <c r="L13" s="1">
        <v>2.11</v>
      </c>
      <c r="M13" s="1">
        <v>1.157</v>
      </c>
      <c r="N13" s="1">
        <v>2.6970000000000001</v>
      </c>
    </row>
    <row r="14" spans="1:14" x14ac:dyDescent="0.2">
      <c r="A14" s="1" t="s">
        <v>41</v>
      </c>
      <c r="B14" s="1" t="s">
        <v>42</v>
      </c>
      <c r="C14" s="1" t="s">
        <v>34</v>
      </c>
      <c r="D14" s="1" t="s">
        <v>35</v>
      </c>
      <c r="E14" s="1" t="s">
        <v>7</v>
      </c>
      <c r="F14" s="1">
        <v>11</v>
      </c>
      <c r="G14" s="1">
        <v>40288.089999999997</v>
      </c>
      <c r="H14" s="1">
        <v>45751.44</v>
      </c>
      <c r="I14" s="1">
        <v>37170.69</v>
      </c>
      <c r="J14" s="1">
        <v>104809.12</v>
      </c>
      <c r="K14" s="1">
        <v>42.94</v>
      </c>
      <c r="L14" s="1">
        <v>5.56</v>
      </c>
      <c r="M14" s="1">
        <v>1.1359999999999999</v>
      </c>
      <c r="N14" s="1">
        <v>2.601</v>
      </c>
    </row>
    <row r="15" spans="1:14" x14ac:dyDescent="0.2">
      <c r="A15" s="1" t="s">
        <v>43</v>
      </c>
      <c r="B15" s="1" t="s">
        <v>44</v>
      </c>
      <c r="C15" s="1" t="s">
        <v>34</v>
      </c>
      <c r="D15" s="1" t="s">
        <v>35</v>
      </c>
      <c r="E15" s="1" t="s">
        <v>14</v>
      </c>
      <c r="F15" s="1">
        <v>11</v>
      </c>
      <c r="G15" s="1">
        <v>662942.16</v>
      </c>
      <c r="H15" s="1">
        <v>753687.9</v>
      </c>
      <c r="I15" s="1">
        <v>656173.92000000004</v>
      </c>
      <c r="J15" s="1">
        <v>1660129.63</v>
      </c>
      <c r="K15" s="1">
        <v>39.89</v>
      </c>
      <c r="L15" s="1">
        <v>0.68</v>
      </c>
      <c r="M15" s="1">
        <v>1.137</v>
      </c>
      <c r="N15" s="1">
        <v>2.504</v>
      </c>
    </row>
    <row r="16" spans="1:14" x14ac:dyDescent="0.2">
      <c r="A16" s="1" t="s">
        <v>43</v>
      </c>
      <c r="B16" s="1" t="s">
        <v>44</v>
      </c>
      <c r="C16" s="1" t="s">
        <v>34</v>
      </c>
      <c r="D16" s="1" t="s">
        <v>35</v>
      </c>
      <c r="E16" s="1" t="s">
        <v>15</v>
      </c>
      <c r="F16" s="1">
        <v>11</v>
      </c>
      <c r="G16" s="1">
        <v>667225.21</v>
      </c>
      <c r="H16" s="1">
        <v>757680.06</v>
      </c>
      <c r="I16" s="1">
        <v>651861.77</v>
      </c>
      <c r="J16" s="1">
        <v>1665426.17</v>
      </c>
      <c r="K16" s="1">
        <v>39.76</v>
      </c>
      <c r="L16" s="1">
        <v>1.73</v>
      </c>
      <c r="M16" s="1">
        <v>1.1359999999999999</v>
      </c>
      <c r="N16" s="1">
        <v>2.496</v>
      </c>
    </row>
    <row r="17" spans="1:14" x14ac:dyDescent="0.2">
      <c r="A17" s="1" t="s">
        <v>39</v>
      </c>
      <c r="B17" s="1" t="s">
        <v>40</v>
      </c>
      <c r="C17" s="1" t="s">
        <v>34</v>
      </c>
      <c r="D17" s="1" t="s">
        <v>35</v>
      </c>
      <c r="E17" s="1" t="s">
        <v>15</v>
      </c>
      <c r="F17" s="1">
        <v>11</v>
      </c>
      <c r="G17" s="1">
        <v>21421.51</v>
      </c>
      <c r="H17" s="1">
        <v>24026.93</v>
      </c>
      <c r="I17" s="1">
        <v>18926.97</v>
      </c>
      <c r="J17" s="1">
        <v>51107.59</v>
      </c>
      <c r="K17" s="1">
        <v>37.840000000000003</v>
      </c>
      <c r="L17" s="1">
        <v>8.34</v>
      </c>
      <c r="M17" s="1">
        <v>1.1220000000000001</v>
      </c>
      <c r="N17" s="1">
        <v>2.3860000000000001</v>
      </c>
    </row>
    <row r="18" spans="1:14" x14ac:dyDescent="0.2">
      <c r="A18" s="1" t="s">
        <v>43</v>
      </c>
      <c r="B18" s="1" t="s">
        <v>44</v>
      </c>
      <c r="C18" s="1" t="s">
        <v>34</v>
      </c>
      <c r="D18" s="1" t="s">
        <v>35</v>
      </c>
      <c r="E18" s="1" t="s">
        <v>7</v>
      </c>
      <c r="F18" s="1">
        <v>11</v>
      </c>
      <c r="G18" s="1">
        <v>664279.59</v>
      </c>
      <c r="H18" s="1">
        <v>741481.48</v>
      </c>
      <c r="I18" s="1">
        <v>649083.09</v>
      </c>
      <c r="J18" s="1">
        <v>1526834.63</v>
      </c>
      <c r="K18" s="1">
        <v>35.14</v>
      </c>
      <c r="L18" s="1">
        <v>1.29</v>
      </c>
      <c r="M18" s="1">
        <v>1.1160000000000001</v>
      </c>
      <c r="N18" s="1">
        <v>2.298</v>
      </c>
    </row>
    <row r="19" spans="1:14" x14ac:dyDescent="0.2">
      <c r="A19" s="1" t="s">
        <v>51</v>
      </c>
      <c r="B19" s="1" t="s">
        <v>52</v>
      </c>
      <c r="C19" s="1" t="s">
        <v>34</v>
      </c>
      <c r="D19" s="1" t="s">
        <v>35</v>
      </c>
      <c r="E19" s="1" t="s">
        <v>7</v>
      </c>
      <c r="F19" s="1">
        <v>11</v>
      </c>
      <c r="G19" s="1">
        <v>684224.61</v>
      </c>
      <c r="H19" s="1">
        <v>754705.68</v>
      </c>
      <c r="I19" s="1">
        <v>662907.34</v>
      </c>
      <c r="J19" s="1">
        <v>1490940.33</v>
      </c>
      <c r="K19" s="1">
        <v>32.380000000000003</v>
      </c>
      <c r="L19" s="1">
        <v>2.6</v>
      </c>
      <c r="M19" s="1">
        <v>1.103</v>
      </c>
      <c r="N19" s="1">
        <v>2.1789999999999998</v>
      </c>
    </row>
    <row r="20" spans="1:14" x14ac:dyDescent="0.2">
      <c r="A20" s="1" t="s">
        <v>39</v>
      </c>
      <c r="B20" s="1" t="s">
        <v>40</v>
      </c>
      <c r="C20" s="1" t="s">
        <v>34</v>
      </c>
      <c r="D20" s="1" t="s">
        <v>35</v>
      </c>
      <c r="E20" s="1" t="s">
        <v>14</v>
      </c>
      <c r="F20" s="1">
        <v>11</v>
      </c>
      <c r="G20" s="1">
        <v>20185.07</v>
      </c>
      <c r="H20" s="1">
        <v>21910.38</v>
      </c>
      <c r="I20" s="1">
        <v>18281.79</v>
      </c>
      <c r="J20" s="1">
        <v>40125.72</v>
      </c>
      <c r="K20" s="1">
        <v>28</v>
      </c>
      <c r="L20" s="1">
        <v>6.02</v>
      </c>
      <c r="M20" s="1">
        <v>1.085</v>
      </c>
      <c r="N20" s="1">
        <v>1.988</v>
      </c>
    </row>
    <row r="21" spans="1:14" x14ac:dyDescent="0.2">
      <c r="A21" s="1" t="s">
        <v>49</v>
      </c>
      <c r="B21" s="1" t="s">
        <v>50</v>
      </c>
      <c r="C21" s="1" t="s">
        <v>34</v>
      </c>
      <c r="D21" s="1" t="s">
        <v>35</v>
      </c>
      <c r="E21" s="1" t="s">
        <v>7</v>
      </c>
      <c r="F21" s="1">
        <v>11</v>
      </c>
      <c r="G21" s="1">
        <v>809451.26</v>
      </c>
      <c r="H21" s="1">
        <v>858587.62</v>
      </c>
      <c r="I21" s="1">
        <v>792811.51</v>
      </c>
      <c r="J21" s="1">
        <v>1375504.07</v>
      </c>
      <c r="K21" s="1">
        <v>20</v>
      </c>
      <c r="L21" s="1">
        <v>2.14</v>
      </c>
      <c r="M21" s="1">
        <v>1.0609999999999999</v>
      </c>
      <c r="N21" s="1">
        <v>1.6990000000000001</v>
      </c>
    </row>
    <row r="22" spans="1:14" x14ac:dyDescent="0.2">
      <c r="A22" s="1" t="s">
        <v>39</v>
      </c>
      <c r="B22" s="1" t="s">
        <v>40</v>
      </c>
      <c r="C22" s="1" t="s">
        <v>34</v>
      </c>
      <c r="D22" s="1" t="s">
        <v>35</v>
      </c>
      <c r="E22" s="1" t="s">
        <v>7</v>
      </c>
      <c r="F22" s="1">
        <v>11</v>
      </c>
      <c r="G22" s="1">
        <v>21542.639999999999</v>
      </c>
      <c r="H22" s="1">
        <v>22076.59</v>
      </c>
      <c r="I22" s="1">
        <v>18939.84</v>
      </c>
      <c r="J22" s="1">
        <v>34752.81</v>
      </c>
      <c r="K22" s="1">
        <v>19.63</v>
      </c>
      <c r="L22" s="1">
        <v>8.17</v>
      </c>
      <c r="M22" s="1">
        <v>1.0249999999999999</v>
      </c>
      <c r="N22" s="1">
        <v>1.613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mechanism_rho_long</vt:lpstr>
      <vt:lpstr>mechanism_rho_pivot</vt:lpstr>
      <vt:lpstr>transformation_share</vt:lpstr>
      <vt:lpstr>warmup_per_cell</vt:lpstr>
      <vt:lpstr>warmup_summary</vt:lpstr>
      <vt:lpstr>warmup_fingerprint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2026-04-30T09:58:33Z</dcterms:created>
  <dcterms:modified xsi:type="dcterms:W3CDTF">2026-04-30T13:58:39Z</dcterms:modified>
</cp:coreProperties>
</file>