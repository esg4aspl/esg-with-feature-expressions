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scripts/statistical_test_scripts/rq1_result/"/>
    </mc:Choice>
  </mc:AlternateContent>
  <xr:revisionPtr revIDLastSave="0" documentId="13_ncr:1_{74454446-D7B5-9A4C-8EA7-A6A074DC6E81}" xr6:coauthVersionLast="47" xr6:coauthVersionMax="47" xr10:uidLastSave="{00000000-0000-0000-0000-000000000000}"/>
  <bookViews>
    <workbookView xWindow="0" yWindow="580" windowWidth="25600" windowHeight="15060" activeTab="1" xr2:uid="{00000000-000D-0000-FFFF-FFFF00000000}"/>
  </bookViews>
  <sheets>
    <sheet name="all_comparisons" sheetId="1" r:id="rId1"/>
    <sheet name="TestGenTime_ms" sheetId="2" r:id="rId2"/>
    <sheet name="TestGenPeakMemory_MB" sheetId="3" r:id="rId3"/>
    <sheet name="EdgeCoverage_p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2" l="1"/>
  <c r="N16" i="2"/>
  <c r="N3" i="2"/>
  <c r="N4" i="2"/>
  <c r="N5" i="2"/>
  <c r="N6" i="2"/>
  <c r="N7" i="2"/>
  <c r="N8" i="2"/>
  <c r="N9" i="2"/>
  <c r="N10" i="2"/>
  <c r="N11" i="2"/>
  <c r="N12" i="2"/>
  <c r="N13" i="2"/>
  <c r="N14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</calcChain>
</file>

<file path=xl/sharedStrings.xml><?xml version="1.0" encoding="utf-8"?>
<sst xmlns="http://schemas.openxmlformats.org/spreadsheetml/2006/main" count="2507" uniqueCount="57">
  <si>
    <t>SPL</t>
  </si>
  <si>
    <t>SPLName</t>
  </si>
  <si>
    <t>Level</t>
  </si>
  <si>
    <t>Metric</t>
  </si>
  <si>
    <t>ApproachA</t>
  </si>
  <si>
    <t>ApproachALabel</t>
  </si>
  <si>
    <t>ApproachB</t>
  </si>
  <si>
    <t>ApproachBLabel</t>
  </si>
  <si>
    <t>N_pairs</t>
  </si>
  <si>
    <t>median_A</t>
  </si>
  <si>
    <t>median_B</t>
  </si>
  <si>
    <t>delta_A_minus_B</t>
  </si>
  <si>
    <t>W</t>
  </si>
  <si>
    <t>p</t>
  </si>
  <si>
    <t>p_BH</t>
  </si>
  <si>
    <t>significant_BH</t>
  </si>
  <si>
    <t>A12_A_vs_B</t>
  </si>
  <si>
    <t>magnitude</t>
  </si>
  <si>
    <t>winner_lower</t>
  </si>
  <si>
    <t>note</t>
  </si>
  <si>
    <t>SVM</t>
  </si>
  <si>
    <t>Soda Vending Machine</t>
  </si>
  <si>
    <t>L2</t>
  </si>
  <si>
    <t>TestGenTime_ms</t>
  </si>
  <si>
    <t>ESG-Fx</t>
  </si>
  <si>
    <t>Model Once, Generate Any</t>
  </si>
  <si>
    <t>EFG</t>
  </si>
  <si>
    <t>Structural Baseline</t>
  </si>
  <si>
    <t>large</t>
  </si>
  <si>
    <t>TestGenPeakMemory_MB</t>
  </si>
  <si>
    <t>EdgeCoverage_pct</t>
  </si>
  <si>
    <t>negligible</t>
  </si>
  <si>
    <t>tie</t>
  </si>
  <si>
    <t>all pairs identical</t>
  </si>
  <si>
    <t>L3</t>
  </si>
  <si>
    <t>L4</t>
  </si>
  <si>
    <t>eM</t>
  </si>
  <si>
    <t>eMail</t>
  </si>
  <si>
    <t>El</t>
  </si>
  <si>
    <t>Elevator</t>
  </si>
  <si>
    <t>BAv2</t>
  </si>
  <si>
    <t>Bank Account</t>
  </si>
  <si>
    <t>SAS</t>
  </si>
  <si>
    <t>Student Attendance System</t>
  </si>
  <si>
    <t>small</t>
  </si>
  <si>
    <t>Te</t>
  </si>
  <si>
    <t>Tesla Web Configurator</t>
  </si>
  <si>
    <t>Svia</t>
  </si>
  <si>
    <t>syngo.via</t>
  </si>
  <si>
    <t>HS</t>
  </si>
  <si>
    <t>Hockerty Shirts Web Configurator</t>
  </si>
  <si>
    <t>L2_vs_RW</t>
  </si>
  <si>
    <t>RandomWalk</t>
  </si>
  <si>
    <t>Stochastic Baseline</t>
  </si>
  <si>
    <t>Speedup</t>
  </si>
  <si>
    <t>median_A_Normalized</t>
  </si>
  <si>
    <t>median_B_Normalized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</si>
</sst>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workbookViewId="0"/>
  </sheetViews>
  <sheetFormatPr baseColWidth="10" defaultColWidth="8.83203125" defaultRowHeight="15" x14ac:dyDescent="0.2"/>
  <cols>
    <col min="2" max="2" width="27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</v>
      </c>
      <c r="J2">
        <v>1389.56</v>
      </c>
      <c r="K2">
        <v>11998.43</v>
      </c>
      <c r="L2">
        <v>-10813.66</v>
      </c>
      <c r="M2">
        <v>0</v>
      </c>
      <c r="N2">
        <v>9.765625E-4</v>
      </c>
      <c r="O2">
        <v>1.027960526315789E-3</v>
      </c>
      <c r="P2" t="b">
        <v>1</v>
      </c>
      <c r="Q2">
        <v>0</v>
      </c>
      <c r="R2" t="s">
        <v>28</v>
      </c>
      <c r="S2" t="s">
        <v>24</v>
      </c>
    </row>
    <row r="3" spans="1:20" x14ac:dyDescent="0.2">
      <c r="A3" t="s">
        <v>20</v>
      </c>
      <c r="B3" t="s">
        <v>21</v>
      </c>
      <c r="C3" t="s">
        <v>22</v>
      </c>
      <c r="D3" t="s">
        <v>29</v>
      </c>
      <c r="E3" t="s">
        <v>24</v>
      </c>
      <c r="F3" t="s">
        <v>25</v>
      </c>
      <c r="G3" t="s">
        <v>26</v>
      </c>
      <c r="H3" t="s">
        <v>27</v>
      </c>
      <c r="I3">
        <v>11</v>
      </c>
      <c r="J3">
        <v>9</v>
      </c>
      <c r="K3">
        <v>8</v>
      </c>
      <c r="L3">
        <v>1</v>
      </c>
      <c r="M3">
        <v>0</v>
      </c>
      <c r="N3">
        <v>9.765625E-4</v>
      </c>
      <c r="O3">
        <v>1.0557432432432431E-3</v>
      </c>
      <c r="P3" t="b">
        <v>1</v>
      </c>
      <c r="Q3">
        <v>1</v>
      </c>
      <c r="R3" t="s">
        <v>28</v>
      </c>
      <c r="S3" t="s">
        <v>26</v>
      </c>
    </row>
    <row r="4" spans="1:20" x14ac:dyDescent="0.2">
      <c r="A4" t="s">
        <v>20</v>
      </c>
      <c r="B4" t="s">
        <v>21</v>
      </c>
      <c r="C4" t="s">
        <v>22</v>
      </c>
      <c r="D4" t="s">
        <v>30</v>
      </c>
      <c r="E4" t="s">
        <v>24</v>
      </c>
      <c r="F4" t="s">
        <v>25</v>
      </c>
      <c r="G4" t="s">
        <v>26</v>
      </c>
      <c r="H4" t="s">
        <v>27</v>
      </c>
      <c r="I4">
        <v>11</v>
      </c>
      <c r="J4">
        <v>100</v>
      </c>
      <c r="K4">
        <v>100</v>
      </c>
      <c r="L4">
        <v>0</v>
      </c>
      <c r="M4">
        <v>0</v>
      </c>
      <c r="N4">
        <v>1</v>
      </c>
      <c r="O4">
        <v>1</v>
      </c>
      <c r="P4" t="b">
        <v>0</v>
      </c>
      <c r="Q4">
        <v>0.5</v>
      </c>
      <c r="R4" t="s">
        <v>31</v>
      </c>
      <c r="S4" t="s">
        <v>32</v>
      </c>
      <c r="T4" t="s">
        <v>33</v>
      </c>
    </row>
    <row r="5" spans="1:20" x14ac:dyDescent="0.2">
      <c r="A5" t="s">
        <v>20</v>
      </c>
      <c r="B5" t="s">
        <v>21</v>
      </c>
      <c r="C5" t="s">
        <v>34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>
        <v>11</v>
      </c>
      <c r="J5">
        <v>1531.63</v>
      </c>
      <c r="K5">
        <v>12223.56</v>
      </c>
      <c r="L5">
        <v>-10643.89</v>
      </c>
      <c r="M5">
        <v>0</v>
      </c>
      <c r="N5">
        <v>9.765625E-4</v>
      </c>
      <c r="O5">
        <v>1.027960526315789E-3</v>
      </c>
      <c r="P5" t="b">
        <v>1</v>
      </c>
      <c r="Q5">
        <v>0</v>
      </c>
      <c r="R5" t="s">
        <v>28</v>
      </c>
      <c r="S5" t="s">
        <v>24</v>
      </c>
    </row>
    <row r="6" spans="1:20" x14ac:dyDescent="0.2">
      <c r="A6" t="s">
        <v>20</v>
      </c>
      <c r="B6" t="s">
        <v>21</v>
      </c>
      <c r="C6" t="s">
        <v>34</v>
      </c>
      <c r="D6" t="s">
        <v>29</v>
      </c>
      <c r="E6" t="s">
        <v>24</v>
      </c>
      <c r="F6" t="s">
        <v>25</v>
      </c>
      <c r="G6" t="s">
        <v>26</v>
      </c>
      <c r="H6" t="s">
        <v>27</v>
      </c>
      <c r="I6">
        <v>11</v>
      </c>
      <c r="J6">
        <v>9</v>
      </c>
      <c r="K6">
        <v>8</v>
      </c>
      <c r="L6">
        <v>1</v>
      </c>
      <c r="M6">
        <v>0</v>
      </c>
      <c r="N6">
        <v>9.765625E-4</v>
      </c>
      <c r="O6">
        <v>1.0557432432432431E-3</v>
      </c>
      <c r="P6" t="b">
        <v>1</v>
      </c>
      <c r="Q6">
        <v>1</v>
      </c>
      <c r="R6" t="s">
        <v>28</v>
      </c>
      <c r="S6" t="s">
        <v>26</v>
      </c>
    </row>
    <row r="7" spans="1:20" x14ac:dyDescent="0.2">
      <c r="A7" t="s">
        <v>20</v>
      </c>
      <c r="B7" t="s">
        <v>21</v>
      </c>
      <c r="C7" t="s">
        <v>34</v>
      </c>
      <c r="D7" t="s">
        <v>30</v>
      </c>
      <c r="E7" t="s">
        <v>24</v>
      </c>
      <c r="F7" t="s">
        <v>25</v>
      </c>
      <c r="G7" t="s">
        <v>26</v>
      </c>
      <c r="H7" t="s">
        <v>27</v>
      </c>
      <c r="I7">
        <v>11</v>
      </c>
      <c r="J7">
        <v>100</v>
      </c>
      <c r="K7">
        <v>100</v>
      </c>
      <c r="L7">
        <v>0</v>
      </c>
      <c r="M7">
        <v>0</v>
      </c>
      <c r="N7">
        <v>1</v>
      </c>
      <c r="O7">
        <v>1</v>
      </c>
      <c r="P7" t="b">
        <v>0</v>
      </c>
      <c r="Q7">
        <v>0.5</v>
      </c>
      <c r="R7" t="s">
        <v>31</v>
      </c>
      <c r="S7" t="s">
        <v>32</v>
      </c>
      <c r="T7" t="s">
        <v>33</v>
      </c>
    </row>
    <row r="8" spans="1:20" x14ac:dyDescent="0.2">
      <c r="A8" t="s">
        <v>20</v>
      </c>
      <c r="B8" t="s">
        <v>21</v>
      </c>
      <c r="C8" t="s">
        <v>35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>
        <v>11</v>
      </c>
      <c r="J8">
        <v>1534.27</v>
      </c>
      <c r="K8">
        <v>11171.19</v>
      </c>
      <c r="L8">
        <v>-9701.27</v>
      </c>
      <c r="M8">
        <v>0</v>
      </c>
      <c r="N8">
        <v>9.765625E-4</v>
      </c>
      <c r="O8">
        <v>1.027960526315789E-3</v>
      </c>
      <c r="P8" t="b">
        <v>1</v>
      </c>
      <c r="Q8">
        <v>0</v>
      </c>
      <c r="R8" t="s">
        <v>28</v>
      </c>
      <c r="S8" t="s">
        <v>24</v>
      </c>
    </row>
    <row r="9" spans="1:20" x14ac:dyDescent="0.2">
      <c r="A9" t="s">
        <v>20</v>
      </c>
      <c r="B9" t="s">
        <v>21</v>
      </c>
      <c r="C9" t="s">
        <v>35</v>
      </c>
      <c r="D9" t="s">
        <v>29</v>
      </c>
      <c r="E9" t="s">
        <v>24</v>
      </c>
      <c r="F9" t="s">
        <v>25</v>
      </c>
      <c r="G9" t="s">
        <v>26</v>
      </c>
      <c r="H9" t="s">
        <v>27</v>
      </c>
      <c r="I9">
        <v>11</v>
      </c>
      <c r="J9">
        <v>9</v>
      </c>
      <c r="K9">
        <v>8</v>
      </c>
      <c r="L9">
        <v>1</v>
      </c>
      <c r="M9">
        <v>0</v>
      </c>
      <c r="N9">
        <v>9.765625E-4</v>
      </c>
      <c r="O9">
        <v>1.0557432432432431E-3</v>
      </c>
      <c r="P9" t="b">
        <v>1</v>
      </c>
      <c r="Q9">
        <v>1</v>
      </c>
      <c r="R9" t="s">
        <v>28</v>
      </c>
      <c r="S9" t="s">
        <v>26</v>
      </c>
    </row>
    <row r="10" spans="1:20" x14ac:dyDescent="0.2">
      <c r="A10" t="s">
        <v>20</v>
      </c>
      <c r="B10" t="s">
        <v>21</v>
      </c>
      <c r="C10" t="s">
        <v>35</v>
      </c>
      <c r="D10" t="s">
        <v>30</v>
      </c>
      <c r="E10" t="s">
        <v>24</v>
      </c>
      <c r="F10" t="s">
        <v>25</v>
      </c>
      <c r="G10" t="s">
        <v>26</v>
      </c>
      <c r="H10" t="s">
        <v>27</v>
      </c>
      <c r="I10">
        <v>11</v>
      </c>
      <c r="J10">
        <v>100</v>
      </c>
      <c r="K10">
        <v>100</v>
      </c>
      <c r="L10">
        <v>0</v>
      </c>
      <c r="M10">
        <v>0</v>
      </c>
      <c r="N10">
        <v>1</v>
      </c>
      <c r="O10">
        <v>1</v>
      </c>
      <c r="P10" t="b">
        <v>0</v>
      </c>
      <c r="Q10">
        <v>0.5</v>
      </c>
      <c r="R10" t="s">
        <v>31</v>
      </c>
      <c r="S10" t="s">
        <v>32</v>
      </c>
      <c r="T10" t="s">
        <v>33</v>
      </c>
    </row>
    <row r="11" spans="1:20" x14ac:dyDescent="0.2">
      <c r="A11" t="s">
        <v>36</v>
      </c>
      <c r="B11" t="s">
        <v>37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>
        <v>11</v>
      </c>
      <c r="J11">
        <v>2773.92</v>
      </c>
      <c r="K11">
        <v>21542.639999999999</v>
      </c>
      <c r="L11">
        <v>-18768.52</v>
      </c>
      <c r="M11">
        <v>0</v>
      </c>
      <c r="N11">
        <v>9.765625E-4</v>
      </c>
      <c r="O11">
        <v>1.027960526315789E-3</v>
      </c>
      <c r="P11" t="b">
        <v>1</v>
      </c>
      <c r="Q11">
        <v>0</v>
      </c>
      <c r="R11" t="s">
        <v>28</v>
      </c>
      <c r="S11" t="s">
        <v>24</v>
      </c>
    </row>
    <row r="12" spans="1:20" x14ac:dyDescent="0.2">
      <c r="A12" t="s">
        <v>36</v>
      </c>
      <c r="B12" t="s">
        <v>37</v>
      </c>
      <c r="C12" t="s">
        <v>22</v>
      </c>
      <c r="D12" t="s">
        <v>29</v>
      </c>
      <c r="E12" t="s">
        <v>24</v>
      </c>
      <c r="F12" t="s">
        <v>25</v>
      </c>
      <c r="G12" t="s">
        <v>26</v>
      </c>
      <c r="H12" t="s">
        <v>27</v>
      </c>
      <c r="I12">
        <v>11</v>
      </c>
      <c r="J12">
        <v>10</v>
      </c>
      <c r="K12">
        <v>8</v>
      </c>
      <c r="L12">
        <v>2</v>
      </c>
      <c r="M12">
        <v>0</v>
      </c>
      <c r="N12">
        <v>9.765625E-4</v>
      </c>
      <c r="O12">
        <v>1.0557432432432431E-3</v>
      </c>
      <c r="P12" t="b">
        <v>1</v>
      </c>
      <c r="Q12">
        <v>1</v>
      </c>
      <c r="R12" t="s">
        <v>28</v>
      </c>
      <c r="S12" t="s">
        <v>26</v>
      </c>
    </row>
    <row r="13" spans="1:20" x14ac:dyDescent="0.2">
      <c r="A13" t="s">
        <v>36</v>
      </c>
      <c r="B13" t="s">
        <v>37</v>
      </c>
      <c r="C13" t="s">
        <v>22</v>
      </c>
      <c r="D13" t="s">
        <v>30</v>
      </c>
      <c r="E13" t="s">
        <v>24</v>
      </c>
      <c r="F13" t="s">
        <v>25</v>
      </c>
      <c r="G13" t="s">
        <v>26</v>
      </c>
      <c r="H13" t="s">
        <v>27</v>
      </c>
      <c r="I13">
        <v>11</v>
      </c>
      <c r="J13">
        <v>100</v>
      </c>
      <c r="K13">
        <v>35.753043478260857</v>
      </c>
      <c r="L13">
        <v>64.246956521739151</v>
      </c>
      <c r="M13">
        <v>0</v>
      </c>
      <c r="N13">
        <v>9.765625E-4</v>
      </c>
      <c r="O13">
        <v>1.34698275862069E-3</v>
      </c>
      <c r="P13" t="b">
        <v>1</v>
      </c>
      <c r="Q13">
        <v>1</v>
      </c>
      <c r="R13" t="s">
        <v>28</v>
      </c>
      <c r="S13" t="s">
        <v>26</v>
      </c>
    </row>
    <row r="14" spans="1:20" x14ac:dyDescent="0.2">
      <c r="A14" t="s">
        <v>36</v>
      </c>
      <c r="B14" t="s">
        <v>37</v>
      </c>
      <c r="C14" t="s">
        <v>34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>
        <v>11</v>
      </c>
      <c r="J14">
        <v>3919.68</v>
      </c>
      <c r="K14">
        <v>20185.07</v>
      </c>
      <c r="L14">
        <v>-16352.62</v>
      </c>
      <c r="M14">
        <v>0</v>
      </c>
      <c r="N14">
        <v>9.765625E-4</v>
      </c>
      <c r="O14">
        <v>1.027960526315789E-3</v>
      </c>
      <c r="P14" t="b">
        <v>1</v>
      </c>
      <c r="Q14">
        <v>0</v>
      </c>
      <c r="R14" t="s">
        <v>28</v>
      </c>
      <c r="S14" t="s">
        <v>24</v>
      </c>
    </row>
    <row r="15" spans="1:20" x14ac:dyDescent="0.2">
      <c r="A15" t="s">
        <v>36</v>
      </c>
      <c r="B15" t="s">
        <v>37</v>
      </c>
      <c r="C15" t="s">
        <v>34</v>
      </c>
      <c r="D15" t="s">
        <v>29</v>
      </c>
      <c r="E15" t="s">
        <v>24</v>
      </c>
      <c r="F15" t="s">
        <v>25</v>
      </c>
      <c r="G15" t="s">
        <v>26</v>
      </c>
      <c r="H15" t="s">
        <v>27</v>
      </c>
      <c r="I15">
        <v>11</v>
      </c>
      <c r="J15">
        <v>11</v>
      </c>
      <c r="K15">
        <v>8</v>
      </c>
      <c r="L15">
        <v>3</v>
      </c>
      <c r="M15">
        <v>0</v>
      </c>
      <c r="N15">
        <v>9.765625E-4</v>
      </c>
      <c r="O15">
        <v>1.0557432432432431E-3</v>
      </c>
      <c r="P15" t="b">
        <v>1</v>
      </c>
      <c r="Q15">
        <v>1</v>
      </c>
      <c r="R15" t="s">
        <v>28</v>
      </c>
      <c r="S15" t="s">
        <v>26</v>
      </c>
    </row>
    <row r="16" spans="1:20" x14ac:dyDescent="0.2">
      <c r="A16" t="s">
        <v>36</v>
      </c>
      <c r="B16" t="s">
        <v>37</v>
      </c>
      <c r="C16" t="s">
        <v>34</v>
      </c>
      <c r="D16" t="s">
        <v>30</v>
      </c>
      <c r="E16" t="s">
        <v>24</v>
      </c>
      <c r="F16" t="s">
        <v>25</v>
      </c>
      <c r="G16" t="s">
        <v>26</v>
      </c>
      <c r="H16" t="s">
        <v>27</v>
      </c>
      <c r="I16">
        <v>11</v>
      </c>
      <c r="J16">
        <v>100</v>
      </c>
      <c r="K16">
        <v>75.069130434782608</v>
      </c>
      <c r="L16">
        <v>24.930869565217389</v>
      </c>
      <c r="M16">
        <v>0</v>
      </c>
      <c r="N16">
        <v>9.765625E-4</v>
      </c>
      <c r="O16">
        <v>1.34698275862069E-3</v>
      </c>
      <c r="P16" t="b">
        <v>1</v>
      </c>
      <c r="Q16">
        <v>1</v>
      </c>
      <c r="R16" t="s">
        <v>28</v>
      </c>
      <c r="S16" t="s">
        <v>26</v>
      </c>
    </row>
    <row r="17" spans="1:20" x14ac:dyDescent="0.2">
      <c r="A17" t="s">
        <v>36</v>
      </c>
      <c r="B17" t="s">
        <v>37</v>
      </c>
      <c r="C17" t="s">
        <v>35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>
        <v>11</v>
      </c>
      <c r="J17">
        <v>7331.01</v>
      </c>
      <c r="K17">
        <v>21421.51</v>
      </c>
      <c r="L17">
        <v>-14337.83</v>
      </c>
      <c r="M17">
        <v>0</v>
      </c>
      <c r="N17">
        <v>9.765625E-4</v>
      </c>
      <c r="O17">
        <v>1.027960526315789E-3</v>
      </c>
      <c r="P17" t="b">
        <v>1</v>
      </c>
      <c r="Q17">
        <v>0</v>
      </c>
      <c r="R17" t="s">
        <v>28</v>
      </c>
      <c r="S17" t="s">
        <v>24</v>
      </c>
    </row>
    <row r="18" spans="1:20" x14ac:dyDescent="0.2">
      <c r="A18" t="s">
        <v>36</v>
      </c>
      <c r="B18" t="s">
        <v>37</v>
      </c>
      <c r="C18" t="s">
        <v>35</v>
      </c>
      <c r="D18" t="s">
        <v>29</v>
      </c>
      <c r="E18" t="s">
        <v>24</v>
      </c>
      <c r="F18" t="s">
        <v>25</v>
      </c>
      <c r="G18" t="s">
        <v>26</v>
      </c>
      <c r="H18" t="s">
        <v>27</v>
      </c>
      <c r="I18">
        <v>11</v>
      </c>
      <c r="J18">
        <v>15</v>
      </c>
      <c r="K18">
        <v>9</v>
      </c>
      <c r="L18">
        <v>6</v>
      </c>
      <c r="M18">
        <v>0</v>
      </c>
      <c r="N18">
        <v>9.765625E-4</v>
      </c>
      <c r="O18">
        <v>1.0557432432432431E-3</v>
      </c>
      <c r="P18" t="b">
        <v>1</v>
      </c>
      <c r="Q18">
        <v>1</v>
      </c>
      <c r="R18" t="s">
        <v>28</v>
      </c>
      <c r="S18" t="s">
        <v>26</v>
      </c>
    </row>
    <row r="19" spans="1:20" x14ac:dyDescent="0.2">
      <c r="A19" t="s">
        <v>36</v>
      </c>
      <c r="B19" t="s">
        <v>37</v>
      </c>
      <c r="C19" t="s">
        <v>35</v>
      </c>
      <c r="D19" t="s">
        <v>30</v>
      </c>
      <c r="E19" t="s">
        <v>24</v>
      </c>
      <c r="F19" t="s">
        <v>25</v>
      </c>
      <c r="G19" t="s">
        <v>26</v>
      </c>
      <c r="H19" t="s">
        <v>27</v>
      </c>
      <c r="I19">
        <v>11</v>
      </c>
      <c r="J19">
        <v>96.477391304347833</v>
      </c>
      <c r="K19">
        <v>82.080869565217384</v>
      </c>
      <c r="L19">
        <v>14.396521739130449</v>
      </c>
      <c r="M19">
        <v>0</v>
      </c>
      <c r="N19">
        <v>9.765625E-4</v>
      </c>
      <c r="O19">
        <v>1.34698275862069E-3</v>
      </c>
      <c r="P19" t="b">
        <v>1</v>
      </c>
      <c r="Q19">
        <v>1</v>
      </c>
      <c r="R19" t="s">
        <v>28</v>
      </c>
      <c r="S19" t="s">
        <v>26</v>
      </c>
    </row>
    <row r="20" spans="1:20" x14ac:dyDescent="0.2">
      <c r="A20" t="s">
        <v>38</v>
      </c>
      <c r="B20" t="s">
        <v>39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>
        <v>11</v>
      </c>
      <c r="J20">
        <v>5864.9699999999993</v>
      </c>
      <c r="K20">
        <v>40288.089999999997</v>
      </c>
      <c r="L20">
        <v>-34499.61</v>
      </c>
      <c r="M20">
        <v>0</v>
      </c>
      <c r="N20">
        <v>9.765625E-4</v>
      </c>
      <c r="O20">
        <v>1.027960526315789E-3</v>
      </c>
      <c r="P20" t="b">
        <v>1</v>
      </c>
      <c r="Q20">
        <v>0</v>
      </c>
      <c r="R20" t="s">
        <v>28</v>
      </c>
      <c r="S20" t="s">
        <v>24</v>
      </c>
    </row>
    <row r="21" spans="1:20" x14ac:dyDescent="0.2">
      <c r="A21" t="s">
        <v>38</v>
      </c>
      <c r="B21" t="s">
        <v>39</v>
      </c>
      <c r="C21" t="s">
        <v>22</v>
      </c>
      <c r="D21" t="s">
        <v>29</v>
      </c>
      <c r="E21" t="s">
        <v>24</v>
      </c>
      <c r="F21" t="s">
        <v>25</v>
      </c>
      <c r="G21" t="s">
        <v>26</v>
      </c>
      <c r="H21" t="s">
        <v>27</v>
      </c>
      <c r="I21">
        <v>11</v>
      </c>
      <c r="J21">
        <v>11</v>
      </c>
      <c r="K21">
        <v>9</v>
      </c>
      <c r="L21">
        <v>2</v>
      </c>
      <c r="M21">
        <v>0</v>
      </c>
      <c r="N21">
        <v>9.765625E-4</v>
      </c>
      <c r="O21">
        <v>1.0557432432432431E-3</v>
      </c>
      <c r="P21" t="b">
        <v>1</v>
      </c>
      <c r="Q21">
        <v>1</v>
      </c>
      <c r="R21" t="s">
        <v>28</v>
      </c>
      <c r="S21" t="s">
        <v>26</v>
      </c>
    </row>
    <row r="22" spans="1:20" x14ac:dyDescent="0.2">
      <c r="A22" t="s">
        <v>38</v>
      </c>
      <c r="B22" t="s">
        <v>39</v>
      </c>
      <c r="C22" t="s">
        <v>22</v>
      </c>
      <c r="D22" t="s">
        <v>30</v>
      </c>
      <c r="E22" t="s">
        <v>24</v>
      </c>
      <c r="F22" t="s">
        <v>25</v>
      </c>
      <c r="G22" t="s">
        <v>26</v>
      </c>
      <c r="H22" t="s">
        <v>27</v>
      </c>
      <c r="I22">
        <v>11</v>
      </c>
      <c r="J22">
        <v>100</v>
      </c>
      <c r="K22">
        <v>98.105476190476196</v>
      </c>
      <c r="L22">
        <v>1.8945238095238039</v>
      </c>
      <c r="M22">
        <v>0</v>
      </c>
      <c r="N22">
        <v>9.765625E-4</v>
      </c>
      <c r="O22">
        <v>1.34698275862069E-3</v>
      </c>
      <c r="P22" t="b">
        <v>1</v>
      </c>
      <c r="Q22">
        <v>1</v>
      </c>
      <c r="R22" t="s">
        <v>28</v>
      </c>
      <c r="S22" t="s">
        <v>26</v>
      </c>
    </row>
    <row r="23" spans="1:20" x14ac:dyDescent="0.2">
      <c r="A23" t="s">
        <v>38</v>
      </c>
      <c r="B23" t="s">
        <v>39</v>
      </c>
      <c r="C23" t="s">
        <v>34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>
        <v>11</v>
      </c>
      <c r="J23">
        <v>11889.75</v>
      </c>
      <c r="K23">
        <v>41895.550000000003</v>
      </c>
      <c r="L23">
        <v>-29707.23</v>
      </c>
      <c r="M23">
        <v>0</v>
      </c>
      <c r="N23">
        <v>9.765625E-4</v>
      </c>
      <c r="O23">
        <v>1.027960526315789E-3</v>
      </c>
      <c r="P23" t="b">
        <v>1</v>
      </c>
      <c r="Q23">
        <v>0</v>
      </c>
      <c r="R23" t="s">
        <v>28</v>
      </c>
      <c r="S23" t="s">
        <v>24</v>
      </c>
    </row>
    <row r="24" spans="1:20" x14ac:dyDescent="0.2">
      <c r="A24" t="s">
        <v>38</v>
      </c>
      <c r="B24" t="s">
        <v>39</v>
      </c>
      <c r="C24" t="s">
        <v>34</v>
      </c>
      <c r="D24" t="s">
        <v>29</v>
      </c>
      <c r="E24" t="s">
        <v>24</v>
      </c>
      <c r="F24" t="s">
        <v>25</v>
      </c>
      <c r="G24" t="s">
        <v>26</v>
      </c>
      <c r="H24" t="s">
        <v>27</v>
      </c>
      <c r="I24">
        <v>11</v>
      </c>
      <c r="J24">
        <v>16</v>
      </c>
      <c r="K24">
        <v>11</v>
      </c>
      <c r="L24">
        <v>5</v>
      </c>
      <c r="M24">
        <v>0</v>
      </c>
      <c r="N24">
        <v>9.765625E-4</v>
      </c>
      <c r="O24">
        <v>1.0557432432432431E-3</v>
      </c>
      <c r="P24" t="b">
        <v>1</v>
      </c>
      <c r="Q24">
        <v>1</v>
      </c>
      <c r="R24" t="s">
        <v>28</v>
      </c>
      <c r="S24" t="s">
        <v>26</v>
      </c>
    </row>
    <row r="25" spans="1:20" x14ac:dyDescent="0.2">
      <c r="A25" t="s">
        <v>38</v>
      </c>
      <c r="B25" t="s">
        <v>39</v>
      </c>
      <c r="C25" t="s">
        <v>34</v>
      </c>
      <c r="D25" t="s">
        <v>30</v>
      </c>
      <c r="E25" t="s">
        <v>24</v>
      </c>
      <c r="F25" t="s">
        <v>25</v>
      </c>
      <c r="G25" t="s">
        <v>26</v>
      </c>
      <c r="H25" t="s">
        <v>27</v>
      </c>
      <c r="I25">
        <v>11</v>
      </c>
      <c r="J25">
        <v>100</v>
      </c>
      <c r="K25">
        <v>100</v>
      </c>
      <c r="L25">
        <v>0</v>
      </c>
      <c r="M25">
        <v>0</v>
      </c>
      <c r="N25">
        <v>1</v>
      </c>
      <c r="O25">
        <v>1</v>
      </c>
      <c r="P25" t="b">
        <v>0</v>
      </c>
      <c r="Q25">
        <v>0.5</v>
      </c>
      <c r="R25" t="s">
        <v>31</v>
      </c>
      <c r="S25" t="s">
        <v>32</v>
      </c>
      <c r="T25" t="s">
        <v>33</v>
      </c>
    </row>
    <row r="26" spans="1:20" x14ac:dyDescent="0.2">
      <c r="A26" t="s">
        <v>38</v>
      </c>
      <c r="B26" t="s">
        <v>39</v>
      </c>
      <c r="C26" t="s">
        <v>35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>
        <v>11</v>
      </c>
      <c r="J26">
        <v>18891.32</v>
      </c>
      <c r="K26">
        <v>42370.22</v>
      </c>
      <c r="L26">
        <v>-23507.260000000009</v>
      </c>
      <c r="M26">
        <v>0</v>
      </c>
      <c r="N26">
        <v>9.765625E-4</v>
      </c>
      <c r="O26">
        <v>1.027960526315789E-3</v>
      </c>
      <c r="P26" t="b">
        <v>1</v>
      </c>
      <c r="Q26">
        <v>0</v>
      </c>
      <c r="R26" t="s">
        <v>28</v>
      </c>
      <c r="S26" t="s">
        <v>24</v>
      </c>
    </row>
    <row r="27" spans="1:20" x14ac:dyDescent="0.2">
      <c r="A27" t="s">
        <v>38</v>
      </c>
      <c r="B27" t="s">
        <v>39</v>
      </c>
      <c r="C27" t="s">
        <v>35</v>
      </c>
      <c r="D27" t="s">
        <v>29</v>
      </c>
      <c r="E27" t="s">
        <v>24</v>
      </c>
      <c r="F27" t="s">
        <v>25</v>
      </c>
      <c r="G27" t="s">
        <v>26</v>
      </c>
      <c r="H27" t="s">
        <v>27</v>
      </c>
      <c r="I27">
        <v>11</v>
      </c>
      <c r="J27">
        <v>31.86</v>
      </c>
      <c r="K27">
        <v>12</v>
      </c>
      <c r="L27">
        <v>19.829999999999998</v>
      </c>
      <c r="M27">
        <v>0</v>
      </c>
      <c r="N27">
        <v>9.765625E-4</v>
      </c>
      <c r="O27">
        <v>1.0557432432432431E-3</v>
      </c>
      <c r="P27" t="b">
        <v>1</v>
      </c>
      <c r="Q27">
        <v>1</v>
      </c>
      <c r="R27" t="s">
        <v>28</v>
      </c>
      <c r="S27" t="s">
        <v>26</v>
      </c>
    </row>
    <row r="28" spans="1:20" x14ac:dyDescent="0.2">
      <c r="A28" t="s">
        <v>38</v>
      </c>
      <c r="B28" t="s">
        <v>39</v>
      </c>
      <c r="C28" t="s">
        <v>35</v>
      </c>
      <c r="D28" t="s">
        <v>30</v>
      </c>
      <c r="E28" t="s">
        <v>24</v>
      </c>
      <c r="F28" t="s">
        <v>25</v>
      </c>
      <c r="G28" t="s">
        <v>26</v>
      </c>
      <c r="H28" t="s">
        <v>27</v>
      </c>
      <c r="I28">
        <v>11</v>
      </c>
      <c r="J28">
        <v>100</v>
      </c>
      <c r="K28">
        <v>100</v>
      </c>
      <c r="L28">
        <v>0</v>
      </c>
      <c r="M28">
        <v>0</v>
      </c>
      <c r="N28">
        <v>1</v>
      </c>
      <c r="O28">
        <v>1</v>
      </c>
      <c r="P28" t="b">
        <v>0</v>
      </c>
      <c r="Q28">
        <v>0.5</v>
      </c>
      <c r="R28" t="s">
        <v>31</v>
      </c>
      <c r="S28" t="s">
        <v>32</v>
      </c>
      <c r="T28" t="s">
        <v>33</v>
      </c>
    </row>
    <row r="29" spans="1:20" x14ac:dyDescent="0.2">
      <c r="A29" t="s">
        <v>40</v>
      </c>
      <c r="B29" t="s">
        <v>41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>
        <v>11</v>
      </c>
      <c r="J29">
        <v>21042.77</v>
      </c>
      <c r="K29">
        <v>664279.59000000008</v>
      </c>
      <c r="L29">
        <v>-643287.0199999999</v>
      </c>
      <c r="M29">
        <v>0</v>
      </c>
      <c r="N29">
        <v>9.765625E-4</v>
      </c>
      <c r="O29">
        <v>1.027960526315789E-3</v>
      </c>
      <c r="P29" t="b">
        <v>1</v>
      </c>
      <c r="Q29">
        <v>0</v>
      </c>
      <c r="R29" t="s">
        <v>28</v>
      </c>
      <c r="S29" t="s">
        <v>24</v>
      </c>
    </row>
    <row r="30" spans="1:20" x14ac:dyDescent="0.2">
      <c r="A30" t="s">
        <v>40</v>
      </c>
      <c r="B30" t="s">
        <v>41</v>
      </c>
      <c r="C30" t="s">
        <v>22</v>
      </c>
      <c r="D30" t="s">
        <v>29</v>
      </c>
      <c r="E30" t="s">
        <v>24</v>
      </c>
      <c r="F30" t="s">
        <v>25</v>
      </c>
      <c r="G30" t="s">
        <v>26</v>
      </c>
      <c r="H30" t="s">
        <v>27</v>
      </c>
      <c r="I30">
        <v>11</v>
      </c>
      <c r="J30">
        <v>11</v>
      </c>
      <c r="K30">
        <v>10</v>
      </c>
      <c r="L30">
        <v>1</v>
      </c>
      <c r="M30">
        <v>0</v>
      </c>
      <c r="N30">
        <v>9.765625E-4</v>
      </c>
      <c r="O30">
        <v>1.0557432432432431E-3</v>
      </c>
      <c r="P30" t="b">
        <v>1</v>
      </c>
      <c r="Q30">
        <v>1</v>
      </c>
      <c r="R30" t="s">
        <v>28</v>
      </c>
      <c r="S30" t="s">
        <v>26</v>
      </c>
    </row>
    <row r="31" spans="1:20" x14ac:dyDescent="0.2">
      <c r="A31" t="s">
        <v>40</v>
      </c>
      <c r="B31" t="s">
        <v>41</v>
      </c>
      <c r="C31" t="s">
        <v>22</v>
      </c>
      <c r="D31" t="s">
        <v>30</v>
      </c>
      <c r="E31" t="s">
        <v>24</v>
      </c>
      <c r="F31" t="s">
        <v>25</v>
      </c>
      <c r="G31" t="s">
        <v>26</v>
      </c>
      <c r="H31" t="s">
        <v>27</v>
      </c>
      <c r="I31">
        <v>11</v>
      </c>
      <c r="J31">
        <v>100</v>
      </c>
      <c r="K31">
        <v>96.405361445783129</v>
      </c>
      <c r="L31">
        <v>3.5946385542168708</v>
      </c>
      <c r="M31">
        <v>0</v>
      </c>
      <c r="N31">
        <v>9.765625E-4</v>
      </c>
      <c r="O31">
        <v>1.34698275862069E-3</v>
      </c>
      <c r="P31" t="b">
        <v>1</v>
      </c>
      <c r="Q31">
        <v>1</v>
      </c>
      <c r="R31" t="s">
        <v>28</v>
      </c>
      <c r="S31" t="s">
        <v>26</v>
      </c>
    </row>
    <row r="32" spans="1:20" x14ac:dyDescent="0.2">
      <c r="A32" t="s">
        <v>40</v>
      </c>
      <c r="B32" t="s">
        <v>41</v>
      </c>
      <c r="C32" t="s">
        <v>34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>
        <v>11</v>
      </c>
      <c r="J32">
        <v>27549.7</v>
      </c>
      <c r="K32">
        <v>662942.15999999992</v>
      </c>
      <c r="L32">
        <v>-635225.71000000008</v>
      </c>
      <c r="M32">
        <v>0</v>
      </c>
      <c r="N32">
        <v>9.765625E-4</v>
      </c>
      <c r="O32">
        <v>1.027960526315789E-3</v>
      </c>
      <c r="P32" t="b">
        <v>1</v>
      </c>
      <c r="Q32">
        <v>0</v>
      </c>
      <c r="R32" t="s">
        <v>28</v>
      </c>
      <c r="S32" t="s">
        <v>24</v>
      </c>
    </row>
    <row r="33" spans="1:19" x14ac:dyDescent="0.2">
      <c r="A33" t="s">
        <v>40</v>
      </c>
      <c r="B33" t="s">
        <v>41</v>
      </c>
      <c r="C33" t="s">
        <v>34</v>
      </c>
      <c r="D33" t="s">
        <v>29</v>
      </c>
      <c r="E33" t="s">
        <v>24</v>
      </c>
      <c r="F33" t="s">
        <v>25</v>
      </c>
      <c r="G33" t="s">
        <v>26</v>
      </c>
      <c r="H33" t="s">
        <v>27</v>
      </c>
      <c r="I33">
        <v>11</v>
      </c>
      <c r="J33">
        <v>11</v>
      </c>
      <c r="K33">
        <v>10</v>
      </c>
      <c r="L33">
        <v>1</v>
      </c>
      <c r="M33">
        <v>0</v>
      </c>
      <c r="N33">
        <v>9.765625E-4</v>
      </c>
      <c r="O33">
        <v>1.0557432432432431E-3</v>
      </c>
      <c r="P33" t="b">
        <v>1</v>
      </c>
      <c r="Q33">
        <v>1</v>
      </c>
      <c r="R33" t="s">
        <v>28</v>
      </c>
      <c r="S33" t="s">
        <v>26</v>
      </c>
    </row>
    <row r="34" spans="1:19" x14ac:dyDescent="0.2">
      <c r="A34" t="s">
        <v>40</v>
      </c>
      <c r="B34" t="s">
        <v>41</v>
      </c>
      <c r="C34" t="s">
        <v>34</v>
      </c>
      <c r="D34" t="s">
        <v>30</v>
      </c>
      <c r="E34" t="s">
        <v>24</v>
      </c>
      <c r="F34" t="s">
        <v>25</v>
      </c>
      <c r="G34" t="s">
        <v>26</v>
      </c>
      <c r="H34" t="s">
        <v>27</v>
      </c>
      <c r="I34">
        <v>11</v>
      </c>
      <c r="J34">
        <v>100</v>
      </c>
      <c r="K34">
        <v>97.603734939759036</v>
      </c>
      <c r="L34">
        <v>2.3962650602409639</v>
      </c>
      <c r="M34">
        <v>0</v>
      </c>
      <c r="N34">
        <v>9.765625E-4</v>
      </c>
      <c r="O34">
        <v>1.34698275862069E-3</v>
      </c>
      <c r="P34" t="b">
        <v>1</v>
      </c>
      <c r="Q34">
        <v>1</v>
      </c>
      <c r="R34" t="s">
        <v>28</v>
      </c>
      <c r="S34" t="s">
        <v>26</v>
      </c>
    </row>
    <row r="35" spans="1:19" x14ac:dyDescent="0.2">
      <c r="A35" t="s">
        <v>40</v>
      </c>
      <c r="B35" t="s">
        <v>41</v>
      </c>
      <c r="C35" t="s">
        <v>35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>
        <v>11</v>
      </c>
      <c r="J35">
        <v>26500.91</v>
      </c>
      <c r="K35">
        <v>667225.21000000008</v>
      </c>
      <c r="L35">
        <v>-640465.21000000008</v>
      </c>
      <c r="M35">
        <v>0</v>
      </c>
      <c r="N35">
        <v>9.765625E-4</v>
      </c>
      <c r="O35">
        <v>1.027960526315789E-3</v>
      </c>
      <c r="P35" t="b">
        <v>1</v>
      </c>
      <c r="Q35">
        <v>0</v>
      </c>
      <c r="R35" t="s">
        <v>28</v>
      </c>
      <c r="S35" t="s">
        <v>24</v>
      </c>
    </row>
    <row r="36" spans="1:19" x14ac:dyDescent="0.2">
      <c r="A36" t="s">
        <v>40</v>
      </c>
      <c r="B36" t="s">
        <v>41</v>
      </c>
      <c r="C36" t="s">
        <v>35</v>
      </c>
      <c r="D36" t="s">
        <v>29</v>
      </c>
      <c r="E36" t="s">
        <v>24</v>
      </c>
      <c r="F36" t="s">
        <v>25</v>
      </c>
      <c r="G36" t="s">
        <v>26</v>
      </c>
      <c r="H36" t="s">
        <v>27</v>
      </c>
      <c r="I36">
        <v>11</v>
      </c>
      <c r="J36">
        <v>11</v>
      </c>
      <c r="K36">
        <v>10</v>
      </c>
      <c r="L36">
        <v>1</v>
      </c>
      <c r="M36">
        <v>0</v>
      </c>
      <c r="N36">
        <v>1.953125E-3</v>
      </c>
      <c r="O36">
        <v>2.0559210526315788E-3</v>
      </c>
      <c r="P36" t="b">
        <v>1</v>
      </c>
      <c r="Q36">
        <v>0.96694214876033058</v>
      </c>
      <c r="R36" t="s">
        <v>28</v>
      </c>
      <c r="S36" t="s">
        <v>26</v>
      </c>
    </row>
    <row r="37" spans="1:19" x14ac:dyDescent="0.2">
      <c r="A37" t="s">
        <v>40</v>
      </c>
      <c r="B37" t="s">
        <v>41</v>
      </c>
      <c r="C37" t="s">
        <v>35</v>
      </c>
      <c r="D37" t="s">
        <v>30</v>
      </c>
      <c r="E37" t="s">
        <v>24</v>
      </c>
      <c r="F37" t="s">
        <v>25</v>
      </c>
      <c r="G37" t="s">
        <v>26</v>
      </c>
      <c r="H37" t="s">
        <v>27</v>
      </c>
      <c r="I37">
        <v>11</v>
      </c>
      <c r="J37">
        <v>91.599919678714869</v>
      </c>
      <c r="K37">
        <v>98.80202811244979</v>
      </c>
      <c r="L37">
        <v>-7.2021084337349208</v>
      </c>
      <c r="M37">
        <v>0</v>
      </c>
      <c r="N37">
        <v>9.765625E-4</v>
      </c>
      <c r="O37">
        <v>1.34698275862069E-3</v>
      </c>
      <c r="P37" t="b">
        <v>1</v>
      </c>
      <c r="Q37">
        <v>0</v>
      </c>
      <c r="R37" t="s">
        <v>28</v>
      </c>
      <c r="S37" t="s">
        <v>24</v>
      </c>
    </row>
    <row r="38" spans="1:19" x14ac:dyDescent="0.2">
      <c r="A38" t="s">
        <v>42</v>
      </c>
      <c r="B38" t="s">
        <v>43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>
        <v>11</v>
      </c>
      <c r="J38">
        <v>79265.75</v>
      </c>
      <c r="K38">
        <v>3303437.810000001</v>
      </c>
      <c r="L38">
        <v>-3221337.5900000008</v>
      </c>
      <c r="M38">
        <v>0</v>
      </c>
      <c r="N38">
        <v>9.765625E-4</v>
      </c>
      <c r="O38">
        <v>1.027960526315789E-3</v>
      </c>
      <c r="P38" t="b">
        <v>1</v>
      </c>
      <c r="Q38">
        <v>0</v>
      </c>
      <c r="R38" t="s">
        <v>28</v>
      </c>
      <c r="S38" t="s">
        <v>24</v>
      </c>
    </row>
    <row r="39" spans="1:19" x14ac:dyDescent="0.2">
      <c r="A39" t="s">
        <v>42</v>
      </c>
      <c r="B39" t="s">
        <v>43</v>
      </c>
      <c r="C39" t="s">
        <v>22</v>
      </c>
      <c r="D39" t="s">
        <v>29</v>
      </c>
      <c r="E39" t="s">
        <v>24</v>
      </c>
      <c r="F39" t="s">
        <v>25</v>
      </c>
      <c r="G39" t="s">
        <v>26</v>
      </c>
      <c r="H39" t="s">
        <v>27</v>
      </c>
      <c r="I39">
        <v>11</v>
      </c>
      <c r="J39">
        <v>15</v>
      </c>
      <c r="K39">
        <v>15</v>
      </c>
      <c r="L39">
        <v>0</v>
      </c>
      <c r="M39">
        <v>0</v>
      </c>
      <c r="N39">
        <v>0.5</v>
      </c>
      <c r="O39">
        <v>0.51282051282051277</v>
      </c>
      <c r="P39" t="b">
        <v>0</v>
      </c>
      <c r="Q39">
        <v>0.40909090909090912</v>
      </c>
      <c r="R39" t="s">
        <v>44</v>
      </c>
      <c r="S39" t="s">
        <v>24</v>
      </c>
    </row>
    <row r="40" spans="1:19" x14ac:dyDescent="0.2">
      <c r="A40" t="s">
        <v>42</v>
      </c>
      <c r="B40" t="s">
        <v>43</v>
      </c>
      <c r="C40" t="s">
        <v>22</v>
      </c>
      <c r="D40" t="s">
        <v>30</v>
      </c>
      <c r="E40" t="s">
        <v>24</v>
      </c>
      <c r="F40" t="s">
        <v>25</v>
      </c>
      <c r="G40" t="s">
        <v>26</v>
      </c>
      <c r="H40" t="s">
        <v>27</v>
      </c>
      <c r="I40">
        <v>11</v>
      </c>
      <c r="J40">
        <v>100</v>
      </c>
      <c r="K40">
        <v>68.809613363363368</v>
      </c>
      <c r="L40">
        <v>31.190386636636632</v>
      </c>
      <c r="M40">
        <v>0</v>
      </c>
      <c r="N40">
        <v>9.765625E-4</v>
      </c>
      <c r="O40">
        <v>1.34698275862069E-3</v>
      </c>
      <c r="P40" t="b">
        <v>1</v>
      </c>
      <c r="Q40">
        <v>1</v>
      </c>
      <c r="R40" t="s">
        <v>28</v>
      </c>
      <c r="S40" t="s">
        <v>26</v>
      </c>
    </row>
    <row r="41" spans="1:19" x14ac:dyDescent="0.2">
      <c r="A41" t="s">
        <v>42</v>
      </c>
      <c r="B41" t="s">
        <v>43</v>
      </c>
      <c r="C41" t="s">
        <v>34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>
        <v>11</v>
      </c>
      <c r="J41">
        <v>158457.29</v>
      </c>
      <c r="K41">
        <v>3402384.64</v>
      </c>
      <c r="L41">
        <v>-3245521.17</v>
      </c>
      <c r="M41">
        <v>0</v>
      </c>
      <c r="N41">
        <v>9.765625E-4</v>
      </c>
      <c r="O41">
        <v>1.027960526315789E-3</v>
      </c>
      <c r="P41" t="b">
        <v>1</v>
      </c>
      <c r="Q41">
        <v>0</v>
      </c>
      <c r="R41" t="s">
        <v>28</v>
      </c>
      <c r="S41" t="s">
        <v>24</v>
      </c>
    </row>
    <row r="42" spans="1:19" x14ac:dyDescent="0.2">
      <c r="A42" t="s">
        <v>42</v>
      </c>
      <c r="B42" t="s">
        <v>43</v>
      </c>
      <c r="C42" t="s">
        <v>34</v>
      </c>
      <c r="D42" t="s">
        <v>29</v>
      </c>
      <c r="E42" t="s">
        <v>24</v>
      </c>
      <c r="F42" t="s">
        <v>25</v>
      </c>
      <c r="G42" t="s">
        <v>26</v>
      </c>
      <c r="H42" t="s">
        <v>27</v>
      </c>
      <c r="I42">
        <v>11</v>
      </c>
      <c r="J42">
        <v>18</v>
      </c>
      <c r="K42">
        <v>16</v>
      </c>
      <c r="L42">
        <v>2</v>
      </c>
      <c r="M42">
        <v>0</v>
      </c>
      <c r="N42">
        <v>9.765625E-4</v>
      </c>
      <c r="O42">
        <v>1.0557432432432431E-3</v>
      </c>
      <c r="P42" t="b">
        <v>1</v>
      </c>
      <c r="Q42">
        <v>1</v>
      </c>
      <c r="R42" t="s">
        <v>28</v>
      </c>
      <c r="S42" t="s">
        <v>26</v>
      </c>
    </row>
    <row r="43" spans="1:19" x14ac:dyDescent="0.2">
      <c r="A43" t="s">
        <v>42</v>
      </c>
      <c r="B43" t="s">
        <v>43</v>
      </c>
      <c r="C43" t="s">
        <v>34</v>
      </c>
      <c r="D43" t="s">
        <v>30</v>
      </c>
      <c r="E43" t="s">
        <v>24</v>
      </c>
      <c r="F43" t="s">
        <v>25</v>
      </c>
      <c r="G43" t="s">
        <v>26</v>
      </c>
      <c r="H43" t="s">
        <v>27</v>
      </c>
      <c r="I43">
        <v>11</v>
      </c>
      <c r="J43">
        <v>100</v>
      </c>
      <c r="K43">
        <v>85.767308558558554</v>
      </c>
      <c r="L43">
        <v>14.23269144144145</v>
      </c>
      <c r="M43">
        <v>0</v>
      </c>
      <c r="N43">
        <v>9.765625E-4</v>
      </c>
      <c r="O43">
        <v>1.34698275862069E-3</v>
      </c>
      <c r="P43" t="b">
        <v>1</v>
      </c>
      <c r="Q43">
        <v>1</v>
      </c>
      <c r="R43" t="s">
        <v>28</v>
      </c>
      <c r="S43" t="s">
        <v>26</v>
      </c>
    </row>
    <row r="44" spans="1:19" x14ac:dyDescent="0.2">
      <c r="A44" t="s">
        <v>42</v>
      </c>
      <c r="B44" t="s">
        <v>43</v>
      </c>
      <c r="C44" t="s">
        <v>35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>
        <v>11</v>
      </c>
      <c r="J44">
        <v>293335.76</v>
      </c>
      <c r="K44">
        <v>3542691.54</v>
      </c>
      <c r="L44">
        <v>-3248262.85</v>
      </c>
      <c r="M44">
        <v>0</v>
      </c>
      <c r="N44">
        <v>9.765625E-4</v>
      </c>
      <c r="O44">
        <v>1.027960526315789E-3</v>
      </c>
      <c r="P44" t="b">
        <v>1</v>
      </c>
      <c r="Q44">
        <v>0</v>
      </c>
      <c r="R44" t="s">
        <v>28</v>
      </c>
      <c r="S44" t="s">
        <v>24</v>
      </c>
    </row>
    <row r="45" spans="1:19" x14ac:dyDescent="0.2">
      <c r="A45" t="s">
        <v>42</v>
      </c>
      <c r="B45" t="s">
        <v>43</v>
      </c>
      <c r="C45" t="s">
        <v>35</v>
      </c>
      <c r="D45" t="s">
        <v>29</v>
      </c>
      <c r="E45" t="s">
        <v>24</v>
      </c>
      <c r="F45" t="s">
        <v>25</v>
      </c>
      <c r="G45" t="s">
        <v>26</v>
      </c>
      <c r="H45" t="s">
        <v>27</v>
      </c>
      <c r="I45">
        <v>11</v>
      </c>
      <c r="J45">
        <v>24</v>
      </c>
      <c r="K45">
        <v>17</v>
      </c>
      <c r="L45">
        <v>7</v>
      </c>
      <c r="M45">
        <v>0</v>
      </c>
      <c r="N45">
        <v>9.765625E-4</v>
      </c>
      <c r="O45">
        <v>1.0557432432432431E-3</v>
      </c>
      <c r="P45" t="b">
        <v>1</v>
      </c>
      <c r="Q45">
        <v>1</v>
      </c>
      <c r="R45" t="s">
        <v>28</v>
      </c>
      <c r="S45" t="s">
        <v>26</v>
      </c>
    </row>
    <row r="46" spans="1:19" x14ac:dyDescent="0.2">
      <c r="A46" t="s">
        <v>42</v>
      </c>
      <c r="B46" t="s">
        <v>43</v>
      </c>
      <c r="C46" t="s">
        <v>35</v>
      </c>
      <c r="D46" t="s">
        <v>30</v>
      </c>
      <c r="E46" t="s">
        <v>24</v>
      </c>
      <c r="F46" t="s">
        <v>25</v>
      </c>
      <c r="G46" t="s">
        <v>26</v>
      </c>
      <c r="H46" t="s">
        <v>27</v>
      </c>
      <c r="I46">
        <v>11</v>
      </c>
      <c r="J46">
        <v>100</v>
      </c>
      <c r="K46">
        <v>86.937192192192185</v>
      </c>
      <c r="L46">
        <v>13.062807807807809</v>
      </c>
      <c r="M46">
        <v>0</v>
      </c>
      <c r="N46">
        <v>9.765625E-4</v>
      </c>
      <c r="O46">
        <v>1.34698275862069E-3</v>
      </c>
      <c r="P46" t="b">
        <v>1</v>
      </c>
      <c r="Q46">
        <v>1</v>
      </c>
      <c r="R46" t="s">
        <v>28</v>
      </c>
      <c r="S46" t="s">
        <v>26</v>
      </c>
    </row>
    <row r="47" spans="1:19" x14ac:dyDescent="0.2">
      <c r="A47" t="s">
        <v>45</v>
      </c>
      <c r="B47" t="s">
        <v>46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27</v>
      </c>
      <c r="I47">
        <v>11</v>
      </c>
      <c r="J47">
        <v>25529.73</v>
      </c>
      <c r="K47">
        <v>579951.01</v>
      </c>
      <c r="L47">
        <v>-554333.49</v>
      </c>
      <c r="M47">
        <v>0</v>
      </c>
      <c r="N47">
        <v>9.765625E-4</v>
      </c>
      <c r="O47">
        <v>1.027960526315789E-3</v>
      </c>
      <c r="P47" t="b">
        <v>1</v>
      </c>
      <c r="Q47">
        <v>0</v>
      </c>
      <c r="R47" t="s">
        <v>28</v>
      </c>
      <c r="S47" t="s">
        <v>24</v>
      </c>
    </row>
    <row r="48" spans="1:19" x14ac:dyDescent="0.2">
      <c r="A48" t="s">
        <v>45</v>
      </c>
      <c r="B48" t="s">
        <v>46</v>
      </c>
      <c r="C48" t="s">
        <v>22</v>
      </c>
      <c r="D48" t="s">
        <v>29</v>
      </c>
      <c r="E48" t="s">
        <v>24</v>
      </c>
      <c r="F48" t="s">
        <v>25</v>
      </c>
      <c r="G48" t="s">
        <v>26</v>
      </c>
      <c r="H48" t="s">
        <v>27</v>
      </c>
      <c r="I48">
        <v>11</v>
      </c>
      <c r="J48">
        <v>13</v>
      </c>
      <c r="K48">
        <v>13.31</v>
      </c>
      <c r="L48">
        <v>-0.3100000000000005</v>
      </c>
      <c r="M48">
        <v>0</v>
      </c>
      <c r="N48">
        <v>9.765625E-4</v>
      </c>
      <c r="O48">
        <v>1.0557432432432431E-3</v>
      </c>
      <c r="P48" t="b">
        <v>1</v>
      </c>
      <c r="Q48">
        <v>0</v>
      </c>
      <c r="R48" t="s">
        <v>28</v>
      </c>
      <c r="S48" t="s">
        <v>24</v>
      </c>
    </row>
    <row r="49" spans="1:19" x14ac:dyDescent="0.2">
      <c r="A49" t="s">
        <v>45</v>
      </c>
      <c r="B49" t="s">
        <v>46</v>
      </c>
      <c r="C49" t="s">
        <v>22</v>
      </c>
      <c r="D49" t="s">
        <v>30</v>
      </c>
      <c r="E49" t="s">
        <v>24</v>
      </c>
      <c r="F49" t="s">
        <v>25</v>
      </c>
      <c r="G49" t="s">
        <v>26</v>
      </c>
      <c r="H49" t="s">
        <v>27</v>
      </c>
      <c r="I49">
        <v>11</v>
      </c>
      <c r="J49">
        <v>100</v>
      </c>
      <c r="K49">
        <v>92.566375000000008</v>
      </c>
      <c r="L49">
        <v>7.4336249999999922</v>
      </c>
      <c r="M49">
        <v>0</v>
      </c>
      <c r="N49">
        <v>9.765625E-4</v>
      </c>
      <c r="O49">
        <v>1.34698275862069E-3</v>
      </c>
      <c r="P49" t="b">
        <v>1</v>
      </c>
      <c r="Q49">
        <v>1</v>
      </c>
      <c r="R49" t="s">
        <v>28</v>
      </c>
      <c r="S49" t="s">
        <v>26</v>
      </c>
    </row>
    <row r="50" spans="1:19" x14ac:dyDescent="0.2">
      <c r="A50" t="s">
        <v>45</v>
      </c>
      <c r="B50" t="s">
        <v>46</v>
      </c>
      <c r="C50" t="s">
        <v>34</v>
      </c>
      <c r="D50" t="s">
        <v>23</v>
      </c>
      <c r="E50" t="s">
        <v>24</v>
      </c>
      <c r="F50" t="s">
        <v>25</v>
      </c>
      <c r="G50" t="s">
        <v>26</v>
      </c>
      <c r="H50" t="s">
        <v>27</v>
      </c>
      <c r="I50">
        <v>11</v>
      </c>
      <c r="J50">
        <v>39176.43</v>
      </c>
      <c r="K50">
        <v>599331.26</v>
      </c>
      <c r="L50">
        <v>-560956.67999999993</v>
      </c>
      <c r="M50">
        <v>0</v>
      </c>
      <c r="N50">
        <v>9.765625E-4</v>
      </c>
      <c r="O50">
        <v>1.027960526315789E-3</v>
      </c>
      <c r="P50" t="b">
        <v>1</v>
      </c>
      <c r="Q50">
        <v>0</v>
      </c>
      <c r="R50" t="s">
        <v>28</v>
      </c>
      <c r="S50" t="s">
        <v>24</v>
      </c>
    </row>
    <row r="51" spans="1:19" x14ac:dyDescent="0.2">
      <c r="A51" t="s">
        <v>45</v>
      </c>
      <c r="B51" t="s">
        <v>46</v>
      </c>
      <c r="C51" t="s">
        <v>34</v>
      </c>
      <c r="D51" t="s">
        <v>29</v>
      </c>
      <c r="E51" t="s">
        <v>24</v>
      </c>
      <c r="F51" t="s">
        <v>25</v>
      </c>
      <c r="G51" t="s">
        <v>26</v>
      </c>
      <c r="H51" t="s">
        <v>27</v>
      </c>
      <c r="I51">
        <v>11</v>
      </c>
      <c r="J51">
        <v>19.739999999999998</v>
      </c>
      <c r="K51">
        <v>18.34</v>
      </c>
      <c r="L51">
        <v>1.399999999999999</v>
      </c>
      <c r="M51">
        <v>0</v>
      </c>
      <c r="N51">
        <v>9.765625E-4</v>
      </c>
      <c r="O51">
        <v>1.0557432432432431E-3</v>
      </c>
      <c r="P51" t="b">
        <v>1</v>
      </c>
      <c r="Q51">
        <v>1</v>
      </c>
      <c r="R51" t="s">
        <v>28</v>
      </c>
      <c r="S51" t="s">
        <v>26</v>
      </c>
    </row>
    <row r="52" spans="1:19" x14ac:dyDescent="0.2">
      <c r="A52" t="s">
        <v>45</v>
      </c>
      <c r="B52" t="s">
        <v>46</v>
      </c>
      <c r="C52" t="s">
        <v>34</v>
      </c>
      <c r="D52" t="s">
        <v>30</v>
      </c>
      <c r="E52" t="s">
        <v>24</v>
      </c>
      <c r="F52" t="s">
        <v>25</v>
      </c>
      <c r="G52" t="s">
        <v>26</v>
      </c>
      <c r="H52" t="s">
        <v>27</v>
      </c>
      <c r="I52">
        <v>11</v>
      </c>
      <c r="J52">
        <v>100</v>
      </c>
      <c r="K52">
        <v>92.566375000000008</v>
      </c>
      <c r="L52">
        <v>7.4336249999999922</v>
      </c>
      <c r="M52">
        <v>0</v>
      </c>
      <c r="N52">
        <v>9.765625E-4</v>
      </c>
      <c r="O52">
        <v>1.34698275862069E-3</v>
      </c>
      <c r="P52" t="b">
        <v>1</v>
      </c>
      <c r="Q52">
        <v>1</v>
      </c>
      <c r="R52" t="s">
        <v>28</v>
      </c>
      <c r="S52" t="s">
        <v>26</v>
      </c>
    </row>
    <row r="53" spans="1:19" x14ac:dyDescent="0.2">
      <c r="A53" t="s">
        <v>45</v>
      </c>
      <c r="B53" t="s">
        <v>46</v>
      </c>
      <c r="C53" t="s">
        <v>35</v>
      </c>
      <c r="D53" t="s">
        <v>23</v>
      </c>
      <c r="E53" t="s">
        <v>24</v>
      </c>
      <c r="F53" t="s">
        <v>25</v>
      </c>
      <c r="G53" t="s">
        <v>26</v>
      </c>
      <c r="H53" t="s">
        <v>27</v>
      </c>
      <c r="I53">
        <v>11</v>
      </c>
      <c r="J53">
        <v>48946.539999999994</v>
      </c>
      <c r="K53">
        <v>614102.89999999991</v>
      </c>
      <c r="L53">
        <v>-565035.31999999995</v>
      </c>
      <c r="M53">
        <v>0</v>
      </c>
      <c r="N53">
        <v>9.765625E-4</v>
      </c>
      <c r="O53">
        <v>1.027960526315789E-3</v>
      </c>
      <c r="P53" t="b">
        <v>1</v>
      </c>
      <c r="Q53">
        <v>0</v>
      </c>
      <c r="R53" t="s">
        <v>28</v>
      </c>
      <c r="S53" t="s">
        <v>24</v>
      </c>
    </row>
    <row r="54" spans="1:19" x14ac:dyDescent="0.2">
      <c r="A54" t="s">
        <v>45</v>
      </c>
      <c r="B54" t="s">
        <v>46</v>
      </c>
      <c r="C54" t="s">
        <v>35</v>
      </c>
      <c r="D54" t="s">
        <v>29</v>
      </c>
      <c r="E54" t="s">
        <v>24</v>
      </c>
      <c r="F54" t="s">
        <v>25</v>
      </c>
      <c r="G54" t="s">
        <v>26</v>
      </c>
      <c r="H54" t="s">
        <v>27</v>
      </c>
      <c r="I54">
        <v>11</v>
      </c>
      <c r="J54">
        <v>38.25</v>
      </c>
      <c r="K54">
        <v>28.36</v>
      </c>
      <c r="L54">
        <v>9.89</v>
      </c>
      <c r="M54">
        <v>0</v>
      </c>
      <c r="N54">
        <v>9.765625E-4</v>
      </c>
      <c r="O54">
        <v>1.0557432432432431E-3</v>
      </c>
      <c r="P54" t="b">
        <v>1</v>
      </c>
      <c r="Q54">
        <v>1</v>
      </c>
      <c r="R54" t="s">
        <v>28</v>
      </c>
      <c r="S54" t="s">
        <v>26</v>
      </c>
    </row>
    <row r="55" spans="1:19" x14ac:dyDescent="0.2">
      <c r="A55" t="s">
        <v>45</v>
      </c>
      <c r="B55" t="s">
        <v>46</v>
      </c>
      <c r="C55" t="s">
        <v>35</v>
      </c>
      <c r="D55" t="s">
        <v>30</v>
      </c>
      <c r="E55" t="s">
        <v>24</v>
      </c>
      <c r="F55" t="s">
        <v>25</v>
      </c>
      <c r="G55" t="s">
        <v>26</v>
      </c>
      <c r="H55" t="s">
        <v>27</v>
      </c>
      <c r="I55">
        <v>11</v>
      </c>
      <c r="J55">
        <v>100</v>
      </c>
      <c r="K55">
        <v>92.566375000000008</v>
      </c>
      <c r="L55">
        <v>7.4336249999999922</v>
      </c>
      <c r="M55">
        <v>0</v>
      </c>
      <c r="N55">
        <v>9.765625E-4</v>
      </c>
      <c r="O55">
        <v>1.34698275862069E-3</v>
      </c>
      <c r="P55" t="b">
        <v>1</v>
      </c>
      <c r="Q55">
        <v>1</v>
      </c>
      <c r="R55" t="s">
        <v>28</v>
      </c>
      <c r="S55" t="s">
        <v>26</v>
      </c>
    </row>
    <row r="56" spans="1:19" x14ac:dyDescent="0.2">
      <c r="A56" t="s">
        <v>47</v>
      </c>
      <c r="B56" t="s">
        <v>48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27</v>
      </c>
      <c r="I56">
        <v>11</v>
      </c>
      <c r="J56">
        <v>645486.98</v>
      </c>
      <c r="K56">
        <v>809451.26</v>
      </c>
      <c r="L56">
        <v>-165312.92999999991</v>
      </c>
      <c r="M56">
        <v>0</v>
      </c>
      <c r="N56">
        <v>9.765625E-4</v>
      </c>
      <c r="O56">
        <v>1.027960526315789E-3</v>
      </c>
      <c r="P56" t="b">
        <v>1</v>
      </c>
      <c r="Q56">
        <v>0</v>
      </c>
      <c r="R56" t="s">
        <v>28</v>
      </c>
      <c r="S56" t="s">
        <v>24</v>
      </c>
    </row>
    <row r="57" spans="1:19" x14ac:dyDescent="0.2">
      <c r="A57" t="s">
        <v>47</v>
      </c>
      <c r="B57" t="s">
        <v>48</v>
      </c>
      <c r="C57" t="s">
        <v>22</v>
      </c>
      <c r="D57" t="s">
        <v>29</v>
      </c>
      <c r="E57" t="s">
        <v>24</v>
      </c>
      <c r="F57" t="s">
        <v>25</v>
      </c>
      <c r="G57" t="s">
        <v>26</v>
      </c>
      <c r="H57" t="s">
        <v>27</v>
      </c>
      <c r="I57">
        <v>11</v>
      </c>
      <c r="J57">
        <v>127.66</v>
      </c>
      <c r="K57">
        <v>40.67</v>
      </c>
      <c r="L57">
        <v>86.97999999999999</v>
      </c>
      <c r="M57">
        <v>0</v>
      </c>
      <c r="N57">
        <v>9.765625E-4</v>
      </c>
      <c r="O57">
        <v>1.0557432432432431E-3</v>
      </c>
      <c r="P57" t="b">
        <v>1</v>
      </c>
      <c r="Q57">
        <v>1</v>
      </c>
      <c r="R57" t="s">
        <v>28</v>
      </c>
      <c r="S57" t="s">
        <v>26</v>
      </c>
    </row>
    <row r="58" spans="1:19" x14ac:dyDescent="0.2">
      <c r="A58" t="s">
        <v>47</v>
      </c>
      <c r="B58" t="s">
        <v>48</v>
      </c>
      <c r="C58" t="s">
        <v>22</v>
      </c>
      <c r="D58" t="s">
        <v>30</v>
      </c>
      <c r="E58" t="s">
        <v>24</v>
      </c>
      <c r="F58" t="s">
        <v>25</v>
      </c>
      <c r="G58" t="s">
        <v>26</v>
      </c>
      <c r="H58" t="s">
        <v>27</v>
      </c>
      <c r="I58">
        <v>11</v>
      </c>
      <c r="J58">
        <v>100</v>
      </c>
      <c r="K58">
        <v>4.0951250000000003</v>
      </c>
      <c r="L58">
        <v>95.904875000000004</v>
      </c>
      <c r="M58">
        <v>0</v>
      </c>
      <c r="N58">
        <v>9.765625E-4</v>
      </c>
      <c r="O58">
        <v>1.34698275862069E-3</v>
      </c>
      <c r="P58" t="b">
        <v>1</v>
      </c>
      <c r="Q58">
        <v>1</v>
      </c>
      <c r="R58" t="s">
        <v>28</v>
      </c>
      <c r="S58" t="s">
        <v>26</v>
      </c>
    </row>
    <row r="59" spans="1:19" x14ac:dyDescent="0.2">
      <c r="A59" t="s">
        <v>47</v>
      </c>
      <c r="B59" t="s">
        <v>48</v>
      </c>
      <c r="C59" t="s">
        <v>34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>
        <v>11</v>
      </c>
      <c r="J59">
        <v>1235627.45</v>
      </c>
      <c r="K59">
        <v>861791.92999999993</v>
      </c>
      <c r="L59">
        <v>374026.67</v>
      </c>
      <c r="M59">
        <v>11</v>
      </c>
      <c r="N59">
        <v>5.37109375E-2</v>
      </c>
      <c r="O59">
        <v>5.37109375E-2</v>
      </c>
      <c r="P59" t="b">
        <v>0</v>
      </c>
      <c r="Q59">
        <v>0.90909090909090906</v>
      </c>
      <c r="R59" t="s">
        <v>28</v>
      </c>
      <c r="S59" t="s">
        <v>26</v>
      </c>
    </row>
    <row r="60" spans="1:19" x14ac:dyDescent="0.2">
      <c r="A60" t="s">
        <v>47</v>
      </c>
      <c r="B60" t="s">
        <v>48</v>
      </c>
      <c r="C60" t="s">
        <v>34</v>
      </c>
      <c r="D60" t="s">
        <v>29</v>
      </c>
      <c r="E60" t="s">
        <v>24</v>
      </c>
      <c r="F60" t="s">
        <v>25</v>
      </c>
      <c r="G60" t="s">
        <v>26</v>
      </c>
      <c r="H60" t="s">
        <v>27</v>
      </c>
      <c r="I60">
        <v>11</v>
      </c>
      <c r="J60">
        <v>260.17</v>
      </c>
      <c r="K60">
        <v>43.66</v>
      </c>
      <c r="L60">
        <v>216.51</v>
      </c>
      <c r="M60">
        <v>0</v>
      </c>
      <c r="N60">
        <v>9.765625E-4</v>
      </c>
      <c r="O60">
        <v>1.0557432432432431E-3</v>
      </c>
      <c r="P60" t="b">
        <v>1</v>
      </c>
      <c r="Q60">
        <v>1</v>
      </c>
      <c r="R60" t="s">
        <v>28</v>
      </c>
      <c r="S60" t="s">
        <v>26</v>
      </c>
    </row>
    <row r="61" spans="1:19" x14ac:dyDescent="0.2">
      <c r="A61" t="s">
        <v>47</v>
      </c>
      <c r="B61" t="s">
        <v>48</v>
      </c>
      <c r="C61" t="s">
        <v>34</v>
      </c>
      <c r="D61" t="s">
        <v>30</v>
      </c>
      <c r="E61" t="s">
        <v>24</v>
      </c>
      <c r="F61" t="s">
        <v>25</v>
      </c>
      <c r="G61" t="s">
        <v>26</v>
      </c>
      <c r="H61" t="s">
        <v>27</v>
      </c>
      <c r="I61">
        <v>11</v>
      </c>
      <c r="J61">
        <v>100</v>
      </c>
      <c r="K61">
        <v>6.9677500000000014</v>
      </c>
      <c r="L61">
        <v>93.032250000000005</v>
      </c>
      <c r="M61">
        <v>0</v>
      </c>
      <c r="N61">
        <v>9.765625E-4</v>
      </c>
      <c r="O61">
        <v>1.34698275862069E-3</v>
      </c>
      <c r="P61" t="b">
        <v>1</v>
      </c>
      <c r="Q61">
        <v>1</v>
      </c>
      <c r="R61" t="s">
        <v>28</v>
      </c>
      <c r="S61" t="s">
        <v>26</v>
      </c>
    </row>
    <row r="62" spans="1:19" x14ac:dyDescent="0.2">
      <c r="A62" t="s">
        <v>47</v>
      </c>
      <c r="B62" t="s">
        <v>48</v>
      </c>
      <c r="C62" t="s">
        <v>35</v>
      </c>
      <c r="D62" t="s">
        <v>23</v>
      </c>
      <c r="E62" t="s">
        <v>24</v>
      </c>
      <c r="F62" t="s">
        <v>25</v>
      </c>
      <c r="G62" t="s">
        <v>26</v>
      </c>
      <c r="H62" t="s">
        <v>27</v>
      </c>
      <c r="I62">
        <v>11</v>
      </c>
      <c r="J62">
        <v>2059771.21</v>
      </c>
      <c r="K62">
        <v>923838.34</v>
      </c>
      <c r="L62">
        <v>1133416.69</v>
      </c>
      <c r="M62">
        <v>11</v>
      </c>
      <c r="N62">
        <v>5.37109375E-2</v>
      </c>
      <c r="O62">
        <v>5.37109375E-2</v>
      </c>
      <c r="P62" t="b">
        <v>0</v>
      </c>
      <c r="Q62">
        <v>0.90909090909090906</v>
      </c>
      <c r="R62" t="s">
        <v>28</v>
      </c>
      <c r="S62" t="s">
        <v>26</v>
      </c>
    </row>
    <row r="63" spans="1:19" x14ac:dyDescent="0.2">
      <c r="A63" t="s">
        <v>47</v>
      </c>
      <c r="B63" t="s">
        <v>48</v>
      </c>
      <c r="C63" t="s">
        <v>35</v>
      </c>
      <c r="D63" t="s">
        <v>29</v>
      </c>
      <c r="E63" t="s">
        <v>24</v>
      </c>
      <c r="F63" t="s">
        <v>25</v>
      </c>
      <c r="G63" t="s">
        <v>26</v>
      </c>
      <c r="H63" t="s">
        <v>27</v>
      </c>
      <c r="I63">
        <v>11</v>
      </c>
      <c r="J63">
        <v>454.09</v>
      </c>
      <c r="K63">
        <v>50.69</v>
      </c>
      <c r="L63">
        <v>403.4</v>
      </c>
      <c r="M63">
        <v>0</v>
      </c>
      <c r="N63">
        <v>9.765625E-4</v>
      </c>
      <c r="O63">
        <v>1.0557432432432431E-3</v>
      </c>
      <c r="P63" t="b">
        <v>1</v>
      </c>
      <c r="Q63">
        <v>1</v>
      </c>
      <c r="R63" t="s">
        <v>28</v>
      </c>
      <c r="S63" t="s">
        <v>26</v>
      </c>
    </row>
    <row r="64" spans="1:19" x14ac:dyDescent="0.2">
      <c r="A64" t="s">
        <v>47</v>
      </c>
      <c r="B64" t="s">
        <v>48</v>
      </c>
      <c r="C64" t="s">
        <v>35</v>
      </c>
      <c r="D64" t="s">
        <v>30</v>
      </c>
      <c r="E64" t="s">
        <v>24</v>
      </c>
      <c r="F64" t="s">
        <v>25</v>
      </c>
      <c r="G64" t="s">
        <v>26</v>
      </c>
      <c r="H64" t="s">
        <v>27</v>
      </c>
      <c r="I64">
        <v>11</v>
      </c>
      <c r="J64">
        <v>100</v>
      </c>
      <c r="K64">
        <v>10.455875000000001</v>
      </c>
      <c r="L64">
        <v>89.544124999999994</v>
      </c>
      <c r="M64">
        <v>0</v>
      </c>
      <c r="N64">
        <v>9.765625E-4</v>
      </c>
      <c r="O64">
        <v>1.34698275862069E-3</v>
      </c>
      <c r="P64" t="b">
        <v>1</v>
      </c>
      <c r="Q64">
        <v>1</v>
      </c>
      <c r="R64" t="s">
        <v>28</v>
      </c>
      <c r="S64" t="s">
        <v>26</v>
      </c>
    </row>
    <row r="65" spans="1:20" x14ac:dyDescent="0.2">
      <c r="A65" t="s">
        <v>49</v>
      </c>
      <c r="B65" t="s">
        <v>50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>
        <v>11</v>
      </c>
      <c r="J65">
        <v>32564.04</v>
      </c>
      <c r="K65">
        <v>684224.61</v>
      </c>
      <c r="L65">
        <v>-651263.71</v>
      </c>
      <c r="M65">
        <v>0</v>
      </c>
      <c r="N65">
        <v>9.765625E-4</v>
      </c>
      <c r="O65">
        <v>1.027960526315789E-3</v>
      </c>
      <c r="P65" t="b">
        <v>1</v>
      </c>
      <c r="Q65">
        <v>0</v>
      </c>
      <c r="R65" t="s">
        <v>28</v>
      </c>
      <c r="S65" t="s">
        <v>24</v>
      </c>
    </row>
    <row r="66" spans="1:20" x14ac:dyDescent="0.2">
      <c r="A66" t="s">
        <v>49</v>
      </c>
      <c r="B66" t="s">
        <v>50</v>
      </c>
      <c r="C66" t="s">
        <v>22</v>
      </c>
      <c r="D66" t="s">
        <v>29</v>
      </c>
      <c r="E66" t="s">
        <v>24</v>
      </c>
      <c r="F66" t="s">
        <v>25</v>
      </c>
      <c r="G66" t="s">
        <v>26</v>
      </c>
      <c r="H66" t="s">
        <v>27</v>
      </c>
      <c r="I66">
        <v>11</v>
      </c>
      <c r="J66">
        <v>15</v>
      </c>
      <c r="K66">
        <v>17</v>
      </c>
      <c r="L66">
        <v>-2</v>
      </c>
      <c r="M66">
        <v>0</v>
      </c>
      <c r="N66">
        <v>9.765625E-4</v>
      </c>
      <c r="O66">
        <v>1.0557432432432431E-3</v>
      </c>
      <c r="P66" t="b">
        <v>1</v>
      </c>
      <c r="Q66">
        <v>0</v>
      </c>
      <c r="R66" t="s">
        <v>28</v>
      </c>
      <c r="S66" t="s">
        <v>24</v>
      </c>
    </row>
    <row r="67" spans="1:20" x14ac:dyDescent="0.2">
      <c r="A67" t="s">
        <v>49</v>
      </c>
      <c r="B67" t="s">
        <v>50</v>
      </c>
      <c r="C67" t="s">
        <v>22</v>
      </c>
      <c r="D67" t="s">
        <v>30</v>
      </c>
      <c r="E67" t="s">
        <v>24</v>
      </c>
      <c r="F67" t="s">
        <v>25</v>
      </c>
      <c r="G67" t="s">
        <v>26</v>
      </c>
      <c r="H67" t="s">
        <v>27</v>
      </c>
      <c r="I67">
        <v>11</v>
      </c>
      <c r="J67">
        <v>100</v>
      </c>
      <c r="K67">
        <v>37.406947115384618</v>
      </c>
      <c r="L67">
        <v>62.593052884615382</v>
      </c>
      <c r="M67">
        <v>0</v>
      </c>
      <c r="N67">
        <v>9.765625E-4</v>
      </c>
      <c r="O67">
        <v>1.34698275862069E-3</v>
      </c>
      <c r="P67" t="b">
        <v>1</v>
      </c>
      <c r="Q67">
        <v>1</v>
      </c>
      <c r="R67" t="s">
        <v>28</v>
      </c>
      <c r="S67" t="s">
        <v>26</v>
      </c>
    </row>
    <row r="68" spans="1:20" x14ac:dyDescent="0.2">
      <c r="A68" t="s">
        <v>49</v>
      </c>
      <c r="B68" t="s">
        <v>50</v>
      </c>
      <c r="C68" t="s">
        <v>34</v>
      </c>
      <c r="D68" t="s">
        <v>23</v>
      </c>
      <c r="E68" t="s">
        <v>24</v>
      </c>
      <c r="F68" t="s">
        <v>25</v>
      </c>
      <c r="G68" t="s">
        <v>26</v>
      </c>
      <c r="H68" t="s">
        <v>27</v>
      </c>
      <c r="I68">
        <v>11</v>
      </c>
      <c r="J68">
        <v>48995.76</v>
      </c>
      <c r="K68">
        <v>695590.73999999987</v>
      </c>
      <c r="L68">
        <v>-644234.0199999999</v>
      </c>
      <c r="M68">
        <v>0</v>
      </c>
      <c r="N68">
        <v>9.765625E-4</v>
      </c>
      <c r="O68">
        <v>1.027960526315789E-3</v>
      </c>
      <c r="P68" t="b">
        <v>1</v>
      </c>
      <c r="Q68">
        <v>0</v>
      </c>
      <c r="R68" t="s">
        <v>28</v>
      </c>
      <c r="S68" t="s">
        <v>24</v>
      </c>
    </row>
    <row r="69" spans="1:20" x14ac:dyDescent="0.2">
      <c r="A69" t="s">
        <v>49</v>
      </c>
      <c r="B69" t="s">
        <v>50</v>
      </c>
      <c r="C69" t="s">
        <v>34</v>
      </c>
      <c r="D69" t="s">
        <v>29</v>
      </c>
      <c r="E69" t="s">
        <v>24</v>
      </c>
      <c r="F69" t="s">
        <v>25</v>
      </c>
      <c r="G69" t="s">
        <v>26</v>
      </c>
      <c r="H69" t="s">
        <v>27</v>
      </c>
      <c r="I69">
        <v>11</v>
      </c>
      <c r="J69">
        <v>17</v>
      </c>
      <c r="K69">
        <v>17</v>
      </c>
      <c r="L69">
        <v>0</v>
      </c>
      <c r="M69">
        <v>0</v>
      </c>
      <c r="N69">
        <v>1</v>
      </c>
      <c r="O69">
        <v>1</v>
      </c>
      <c r="P69" t="b">
        <v>0</v>
      </c>
      <c r="Q69">
        <v>0.5</v>
      </c>
      <c r="R69" t="s">
        <v>31</v>
      </c>
      <c r="S69" t="s">
        <v>32</v>
      </c>
      <c r="T69" t="s">
        <v>33</v>
      </c>
    </row>
    <row r="70" spans="1:20" x14ac:dyDescent="0.2">
      <c r="A70" t="s">
        <v>49</v>
      </c>
      <c r="B70" t="s">
        <v>50</v>
      </c>
      <c r="C70" t="s">
        <v>34</v>
      </c>
      <c r="D70" t="s">
        <v>30</v>
      </c>
      <c r="E70" t="s">
        <v>24</v>
      </c>
      <c r="F70" t="s">
        <v>25</v>
      </c>
      <c r="G70" t="s">
        <v>26</v>
      </c>
      <c r="H70" t="s">
        <v>27</v>
      </c>
      <c r="I70">
        <v>11</v>
      </c>
      <c r="J70">
        <v>100</v>
      </c>
      <c r="K70">
        <v>38.85050480769231</v>
      </c>
      <c r="L70">
        <v>61.14949519230769</v>
      </c>
      <c r="M70">
        <v>0</v>
      </c>
      <c r="N70">
        <v>9.765625E-4</v>
      </c>
      <c r="O70">
        <v>1.34698275862069E-3</v>
      </c>
      <c r="P70" t="b">
        <v>1</v>
      </c>
      <c r="Q70">
        <v>1</v>
      </c>
      <c r="R70" t="s">
        <v>28</v>
      </c>
      <c r="S70" t="s">
        <v>26</v>
      </c>
    </row>
    <row r="71" spans="1:20" x14ac:dyDescent="0.2">
      <c r="A71" t="s">
        <v>49</v>
      </c>
      <c r="B71" t="s">
        <v>50</v>
      </c>
      <c r="C71" t="s">
        <v>35</v>
      </c>
      <c r="D71" t="s">
        <v>23</v>
      </c>
      <c r="E71" t="s">
        <v>24</v>
      </c>
      <c r="F71" t="s">
        <v>25</v>
      </c>
      <c r="G71" t="s">
        <v>26</v>
      </c>
      <c r="H71" t="s">
        <v>27</v>
      </c>
      <c r="I71">
        <v>11</v>
      </c>
      <c r="J71">
        <v>61192.83</v>
      </c>
      <c r="K71">
        <v>709146.3</v>
      </c>
      <c r="L71">
        <v>-647745.76000000013</v>
      </c>
      <c r="M71">
        <v>0</v>
      </c>
      <c r="N71">
        <v>9.765625E-4</v>
      </c>
      <c r="O71">
        <v>1.027960526315789E-3</v>
      </c>
      <c r="P71" t="b">
        <v>1</v>
      </c>
      <c r="Q71">
        <v>0</v>
      </c>
      <c r="R71" t="s">
        <v>28</v>
      </c>
      <c r="S71" t="s">
        <v>24</v>
      </c>
    </row>
    <row r="72" spans="1:20" x14ac:dyDescent="0.2">
      <c r="A72" t="s">
        <v>49</v>
      </c>
      <c r="B72" t="s">
        <v>50</v>
      </c>
      <c r="C72" t="s">
        <v>35</v>
      </c>
      <c r="D72" t="s">
        <v>29</v>
      </c>
      <c r="E72" t="s">
        <v>24</v>
      </c>
      <c r="F72" t="s">
        <v>25</v>
      </c>
      <c r="G72" t="s">
        <v>26</v>
      </c>
      <c r="H72" t="s">
        <v>27</v>
      </c>
      <c r="I72">
        <v>11</v>
      </c>
      <c r="J72">
        <v>20.94</v>
      </c>
      <c r="K72">
        <v>18</v>
      </c>
      <c r="L72">
        <v>2.9400000000000008</v>
      </c>
      <c r="M72">
        <v>0</v>
      </c>
      <c r="N72">
        <v>9.765625E-4</v>
      </c>
      <c r="O72">
        <v>1.0557432432432431E-3</v>
      </c>
      <c r="P72" t="b">
        <v>1</v>
      </c>
      <c r="Q72">
        <v>1</v>
      </c>
      <c r="R72" t="s">
        <v>28</v>
      </c>
      <c r="S72" t="s">
        <v>26</v>
      </c>
    </row>
    <row r="73" spans="1:20" x14ac:dyDescent="0.2">
      <c r="A73" t="s">
        <v>49</v>
      </c>
      <c r="B73" t="s">
        <v>50</v>
      </c>
      <c r="C73" t="s">
        <v>35</v>
      </c>
      <c r="D73" t="s">
        <v>30</v>
      </c>
      <c r="E73" t="s">
        <v>24</v>
      </c>
      <c r="F73" t="s">
        <v>25</v>
      </c>
      <c r="G73" t="s">
        <v>26</v>
      </c>
      <c r="H73" t="s">
        <v>27</v>
      </c>
      <c r="I73">
        <v>11</v>
      </c>
      <c r="J73">
        <v>100</v>
      </c>
      <c r="K73">
        <v>40.293028846153852</v>
      </c>
      <c r="L73">
        <v>59.706971153846148</v>
      </c>
      <c r="M73">
        <v>0</v>
      </c>
      <c r="N73">
        <v>9.765625E-4</v>
      </c>
      <c r="O73">
        <v>1.34698275862069E-3</v>
      </c>
      <c r="P73" t="b">
        <v>1</v>
      </c>
      <c r="Q73">
        <v>1</v>
      </c>
      <c r="R73" t="s">
        <v>28</v>
      </c>
      <c r="S73" t="s">
        <v>26</v>
      </c>
    </row>
    <row r="74" spans="1:20" x14ac:dyDescent="0.2">
      <c r="A74" t="s">
        <v>20</v>
      </c>
      <c r="B74" t="s">
        <v>21</v>
      </c>
      <c r="C74" t="s">
        <v>51</v>
      </c>
      <c r="D74" t="s">
        <v>23</v>
      </c>
      <c r="E74" t="s">
        <v>24</v>
      </c>
      <c r="F74" t="s">
        <v>25</v>
      </c>
      <c r="G74" t="s">
        <v>52</v>
      </c>
      <c r="H74" t="s">
        <v>53</v>
      </c>
      <c r="I74">
        <v>11</v>
      </c>
      <c r="J74">
        <v>1389.56</v>
      </c>
      <c r="K74">
        <v>648.77</v>
      </c>
      <c r="L74">
        <v>747.42999999999984</v>
      </c>
      <c r="M74">
        <v>0</v>
      </c>
      <c r="N74">
        <v>9.765625E-4</v>
      </c>
      <c r="O74">
        <v>1.027960526315789E-3</v>
      </c>
      <c r="P74" t="b">
        <v>1</v>
      </c>
      <c r="Q74">
        <v>1</v>
      </c>
      <c r="R74" t="s">
        <v>28</v>
      </c>
      <c r="S74" t="s">
        <v>52</v>
      </c>
    </row>
    <row r="75" spans="1:20" x14ac:dyDescent="0.2">
      <c r="A75" t="s">
        <v>20</v>
      </c>
      <c r="B75" t="s">
        <v>21</v>
      </c>
      <c r="C75" t="s">
        <v>51</v>
      </c>
      <c r="D75" t="s">
        <v>29</v>
      </c>
      <c r="E75" t="s">
        <v>24</v>
      </c>
      <c r="F75" t="s">
        <v>25</v>
      </c>
      <c r="G75" t="s">
        <v>52</v>
      </c>
      <c r="H75" t="s">
        <v>53</v>
      </c>
      <c r="I75">
        <v>11</v>
      </c>
      <c r="J75">
        <v>9</v>
      </c>
      <c r="K75">
        <v>6</v>
      </c>
      <c r="L75">
        <v>3</v>
      </c>
      <c r="M75">
        <v>0</v>
      </c>
      <c r="N75">
        <v>9.765625E-4</v>
      </c>
      <c r="O75">
        <v>1.0557432432432431E-3</v>
      </c>
      <c r="P75" t="b">
        <v>1</v>
      </c>
      <c r="Q75">
        <v>1</v>
      </c>
      <c r="R75" t="s">
        <v>28</v>
      </c>
      <c r="S75" t="s">
        <v>52</v>
      </c>
    </row>
    <row r="76" spans="1:20" x14ac:dyDescent="0.2">
      <c r="A76" t="s">
        <v>20</v>
      </c>
      <c r="B76" t="s">
        <v>21</v>
      </c>
      <c r="C76" t="s">
        <v>51</v>
      </c>
      <c r="D76" t="s">
        <v>30</v>
      </c>
      <c r="E76" t="s">
        <v>24</v>
      </c>
      <c r="F76" t="s">
        <v>25</v>
      </c>
      <c r="G76" t="s">
        <v>52</v>
      </c>
      <c r="H76" t="s">
        <v>53</v>
      </c>
      <c r="I76">
        <v>11</v>
      </c>
      <c r="J76">
        <v>100</v>
      </c>
      <c r="K76">
        <v>100</v>
      </c>
      <c r="L76">
        <v>0</v>
      </c>
      <c r="M76">
        <v>0</v>
      </c>
      <c r="N76">
        <v>1</v>
      </c>
      <c r="O76">
        <v>1</v>
      </c>
      <c r="P76" t="b">
        <v>0</v>
      </c>
      <c r="Q76">
        <v>0.5</v>
      </c>
      <c r="R76" t="s">
        <v>31</v>
      </c>
      <c r="S76" t="s">
        <v>32</v>
      </c>
      <c r="T76" t="s">
        <v>33</v>
      </c>
    </row>
    <row r="77" spans="1:20" x14ac:dyDescent="0.2">
      <c r="A77" t="s">
        <v>36</v>
      </c>
      <c r="B77" t="s">
        <v>37</v>
      </c>
      <c r="C77" t="s">
        <v>51</v>
      </c>
      <c r="D77" t="s">
        <v>23</v>
      </c>
      <c r="E77" t="s">
        <v>24</v>
      </c>
      <c r="F77" t="s">
        <v>25</v>
      </c>
      <c r="G77" t="s">
        <v>52</v>
      </c>
      <c r="H77" t="s">
        <v>53</v>
      </c>
      <c r="I77">
        <v>11</v>
      </c>
      <c r="J77">
        <v>2773.92</v>
      </c>
      <c r="K77">
        <v>1309.95</v>
      </c>
      <c r="L77">
        <v>1423.56</v>
      </c>
      <c r="M77">
        <v>0</v>
      </c>
      <c r="N77">
        <v>9.765625E-4</v>
      </c>
      <c r="O77">
        <v>1.027960526315789E-3</v>
      </c>
      <c r="P77" t="b">
        <v>1</v>
      </c>
      <c r="Q77">
        <v>1</v>
      </c>
      <c r="R77" t="s">
        <v>28</v>
      </c>
      <c r="S77" t="s">
        <v>52</v>
      </c>
    </row>
    <row r="78" spans="1:20" x14ac:dyDescent="0.2">
      <c r="A78" t="s">
        <v>36</v>
      </c>
      <c r="B78" t="s">
        <v>37</v>
      </c>
      <c r="C78" t="s">
        <v>51</v>
      </c>
      <c r="D78" t="s">
        <v>29</v>
      </c>
      <c r="E78" t="s">
        <v>24</v>
      </c>
      <c r="F78" t="s">
        <v>25</v>
      </c>
      <c r="G78" t="s">
        <v>52</v>
      </c>
      <c r="H78" t="s">
        <v>53</v>
      </c>
      <c r="I78">
        <v>11</v>
      </c>
      <c r="J78">
        <v>10</v>
      </c>
      <c r="K78">
        <v>7</v>
      </c>
      <c r="L78">
        <v>3</v>
      </c>
      <c r="M78">
        <v>0</v>
      </c>
      <c r="N78">
        <v>9.765625E-4</v>
      </c>
      <c r="O78">
        <v>1.0557432432432431E-3</v>
      </c>
      <c r="P78" t="b">
        <v>1</v>
      </c>
      <c r="Q78">
        <v>1</v>
      </c>
      <c r="R78" t="s">
        <v>28</v>
      </c>
      <c r="S78" t="s">
        <v>52</v>
      </c>
    </row>
    <row r="79" spans="1:20" x14ac:dyDescent="0.2">
      <c r="A79" t="s">
        <v>36</v>
      </c>
      <c r="B79" t="s">
        <v>37</v>
      </c>
      <c r="C79" t="s">
        <v>51</v>
      </c>
      <c r="D79" t="s">
        <v>30</v>
      </c>
      <c r="E79" t="s">
        <v>24</v>
      </c>
      <c r="F79" t="s">
        <v>25</v>
      </c>
      <c r="G79" t="s">
        <v>52</v>
      </c>
      <c r="H79" t="s">
        <v>53</v>
      </c>
      <c r="I79">
        <v>11</v>
      </c>
      <c r="J79">
        <v>100</v>
      </c>
      <c r="K79">
        <v>100</v>
      </c>
      <c r="L79">
        <v>0</v>
      </c>
      <c r="M79">
        <v>0</v>
      </c>
      <c r="N79">
        <v>1</v>
      </c>
      <c r="O79">
        <v>1</v>
      </c>
      <c r="P79" t="b">
        <v>0</v>
      </c>
      <c r="Q79">
        <v>0.5</v>
      </c>
      <c r="R79" t="s">
        <v>31</v>
      </c>
      <c r="S79" t="s">
        <v>32</v>
      </c>
      <c r="T79" t="s">
        <v>33</v>
      </c>
    </row>
    <row r="80" spans="1:20" x14ac:dyDescent="0.2">
      <c r="A80" t="s">
        <v>38</v>
      </c>
      <c r="B80" t="s">
        <v>39</v>
      </c>
      <c r="C80" t="s">
        <v>51</v>
      </c>
      <c r="D80" t="s">
        <v>23</v>
      </c>
      <c r="E80" t="s">
        <v>24</v>
      </c>
      <c r="F80" t="s">
        <v>25</v>
      </c>
      <c r="G80" t="s">
        <v>52</v>
      </c>
      <c r="H80" t="s">
        <v>53</v>
      </c>
      <c r="I80">
        <v>11</v>
      </c>
      <c r="J80">
        <v>5864.9699999999993</v>
      </c>
      <c r="K80">
        <v>2287.19</v>
      </c>
      <c r="L80">
        <v>3571.829999999999</v>
      </c>
      <c r="M80">
        <v>0</v>
      </c>
      <c r="N80">
        <v>9.765625E-4</v>
      </c>
      <c r="O80">
        <v>1.027960526315789E-3</v>
      </c>
      <c r="P80" t="b">
        <v>1</v>
      </c>
      <c r="Q80">
        <v>1</v>
      </c>
      <c r="R80" t="s">
        <v>28</v>
      </c>
      <c r="S80" t="s">
        <v>52</v>
      </c>
    </row>
    <row r="81" spans="1:20" x14ac:dyDescent="0.2">
      <c r="A81" t="s">
        <v>38</v>
      </c>
      <c r="B81" t="s">
        <v>39</v>
      </c>
      <c r="C81" t="s">
        <v>51</v>
      </c>
      <c r="D81" t="s">
        <v>29</v>
      </c>
      <c r="E81" t="s">
        <v>24</v>
      </c>
      <c r="F81" t="s">
        <v>25</v>
      </c>
      <c r="G81" t="s">
        <v>52</v>
      </c>
      <c r="H81" t="s">
        <v>53</v>
      </c>
      <c r="I81">
        <v>11</v>
      </c>
      <c r="J81">
        <v>11</v>
      </c>
      <c r="K81">
        <v>7</v>
      </c>
      <c r="L81">
        <v>4</v>
      </c>
      <c r="M81">
        <v>0</v>
      </c>
      <c r="N81">
        <v>9.765625E-4</v>
      </c>
      <c r="O81">
        <v>1.0557432432432431E-3</v>
      </c>
      <c r="P81" t="b">
        <v>1</v>
      </c>
      <c r="Q81">
        <v>1</v>
      </c>
      <c r="R81" t="s">
        <v>28</v>
      </c>
      <c r="S81" t="s">
        <v>52</v>
      </c>
    </row>
    <row r="82" spans="1:20" x14ac:dyDescent="0.2">
      <c r="A82" t="s">
        <v>38</v>
      </c>
      <c r="B82" t="s">
        <v>39</v>
      </c>
      <c r="C82" t="s">
        <v>51</v>
      </c>
      <c r="D82" t="s">
        <v>30</v>
      </c>
      <c r="E82" t="s">
        <v>24</v>
      </c>
      <c r="F82" t="s">
        <v>25</v>
      </c>
      <c r="G82" t="s">
        <v>52</v>
      </c>
      <c r="H82" t="s">
        <v>53</v>
      </c>
      <c r="I82">
        <v>11</v>
      </c>
      <c r="J82">
        <v>100</v>
      </c>
      <c r="K82">
        <v>100</v>
      </c>
      <c r="L82">
        <v>0</v>
      </c>
      <c r="M82">
        <v>0</v>
      </c>
      <c r="N82">
        <v>1</v>
      </c>
      <c r="O82">
        <v>1</v>
      </c>
      <c r="P82" t="b">
        <v>0</v>
      </c>
      <c r="Q82">
        <v>0.5</v>
      </c>
      <c r="R82" t="s">
        <v>31</v>
      </c>
      <c r="S82" t="s">
        <v>32</v>
      </c>
      <c r="T82" t="s">
        <v>33</v>
      </c>
    </row>
    <row r="83" spans="1:20" x14ac:dyDescent="0.2">
      <c r="A83" t="s">
        <v>40</v>
      </c>
      <c r="B83" t="s">
        <v>41</v>
      </c>
      <c r="C83" t="s">
        <v>51</v>
      </c>
      <c r="D83" t="s">
        <v>23</v>
      </c>
      <c r="E83" t="s">
        <v>24</v>
      </c>
      <c r="F83" t="s">
        <v>25</v>
      </c>
      <c r="G83" t="s">
        <v>52</v>
      </c>
      <c r="H83" t="s">
        <v>53</v>
      </c>
      <c r="I83">
        <v>11</v>
      </c>
      <c r="J83">
        <v>21042.77</v>
      </c>
      <c r="K83">
        <v>12945.34</v>
      </c>
      <c r="L83">
        <v>8261.3900000000012</v>
      </c>
      <c r="M83">
        <v>0</v>
      </c>
      <c r="N83">
        <v>9.765625E-4</v>
      </c>
      <c r="O83">
        <v>1.027960526315789E-3</v>
      </c>
      <c r="P83" t="b">
        <v>1</v>
      </c>
      <c r="Q83">
        <v>1</v>
      </c>
      <c r="R83" t="s">
        <v>28</v>
      </c>
      <c r="S83" t="s">
        <v>52</v>
      </c>
    </row>
    <row r="84" spans="1:20" x14ac:dyDescent="0.2">
      <c r="A84" t="s">
        <v>40</v>
      </c>
      <c r="B84" t="s">
        <v>41</v>
      </c>
      <c r="C84" t="s">
        <v>51</v>
      </c>
      <c r="D84" t="s">
        <v>29</v>
      </c>
      <c r="E84" t="s">
        <v>24</v>
      </c>
      <c r="F84" t="s">
        <v>25</v>
      </c>
      <c r="G84" t="s">
        <v>52</v>
      </c>
      <c r="H84" t="s">
        <v>53</v>
      </c>
      <c r="I84">
        <v>11</v>
      </c>
      <c r="J84">
        <v>11</v>
      </c>
      <c r="K84">
        <v>12.14</v>
      </c>
      <c r="L84">
        <v>-1.140000000000001</v>
      </c>
      <c r="M84">
        <v>0</v>
      </c>
      <c r="N84">
        <v>9.765625E-4</v>
      </c>
      <c r="O84">
        <v>1.0557432432432431E-3</v>
      </c>
      <c r="P84" t="b">
        <v>1</v>
      </c>
      <c r="Q84">
        <v>0</v>
      </c>
      <c r="R84" t="s">
        <v>28</v>
      </c>
      <c r="S84" t="s">
        <v>24</v>
      </c>
    </row>
    <row r="85" spans="1:20" x14ac:dyDescent="0.2">
      <c r="A85" t="s">
        <v>40</v>
      </c>
      <c r="B85" t="s">
        <v>41</v>
      </c>
      <c r="C85" t="s">
        <v>51</v>
      </c>
      <c r="D85" t="s">
        <v>30</v>
      </c>
      <c r="E85" t="s">
        <v>24</v>
      </c>
      <c r="F85" t="s">
        <v>25</v>
      </c>
      <c r="G85" t="s">
        <v>52</v>
      </c>
      <c r="H85" t="s">
        <v>53</v>
      </c>
      <c r="I85">
        <v>11</v>
      </c>
      <c r="J85">
        <v>100</v>
      </c>
      <c r="K85">
        <v>100</v>
      </c>
      <c r="L85">
        <v>0</v>
      </c>
      <c r="M85">
        <v>0</v>
      </c>
      <c r="N85">
        <v>1</v>
      </c>
      <c r="O85">
        <v>1</v>
      </c>
      <c r="P85" t="b">
        <v>0</v>
      </c>
      <c r="Q85">
        <v>0.5</v>
      </c>
      <c r="R85" t="s">
        <v>31</v>
      </c>
      <c r="S85" t="s">
        <v>32</v>
      </c>
      <c r="T85" t="s">
        <v>33</v>
      </c>
    </row>
    <row r="86" spans="1:20" x14ac:dyDescent="0.2">
      <c r="A86" t="s">
        <v>42</v>
      </c>
      <c r="B86" t="s">
        <v>43</v>
      </c>
      <c r="C86" t="s">
        <v>51</v>
      </c>
      <c r="D86" t="s">
        <v>23</v>
      </c>
      <c r="E86" t="s">
        <v>24</v>
      </c>
      <c r="F86" t="s">
        <v>25</v>
      </c>
      <c r="G86" t="s">
        <v>52</v>
      </c>
      <c r="H86" t="s">
        <v>53</v>
      </c>
      <c r="I86">
        <v>11</v>
      </c>
      <c r="J86">
        <v>79265.75</v>
      </c>
      <c r="K86">
        <v>98011.090000000011</v>
      </c>
      <c r="L86">
        <v>-18584.689999999999</v>
      </c>
      <c r="M86">
        <v>0</v>
      </c>
      <c r="N86">
        <v>9.765625E-4</v>
      </c>
      <c r="O86">
        <v>1.027960526315789E-3</v>
      </c>
      <c r="P86" t="b">
        <v>1</v>
      </c>
      <c r="Q86">
        <v>0</v>
      </c>
      <c r="R86" t="s">
        <v>28</v>
      </c>
      <c r="S86" t="s">
        <v>24</v>
      </c>
    </row>
    <row r="87" spans="1:20" x14ac:dyDescent="0.2">
      <c r="A87" t="s">
        <v>42</v>
      </c>
      <c r="B87" t="s">
        <v>43</v>
      </c>
      <c r="C87" t="s">
        <v>51</v>
      </c>
      <c r="D87" t="s">
        <v>29</v>
      </c>
      <c r="E87" t="s">
        <v>24</v>
      </c>
      <c r="F87" t="s">
        <v>25</v>
      </c>
      <c r="G87" t="s">
        <v>52</v>
      </c>
      <c r="H87" t="s">
        <v>53</v>
      </c>
      <c r="I87">
        <v>11</v>
      </c>
      <c r="J87">
        <v>15</v>
      </c>
      <c r="K87">
        <v>19.45</v>
      </c>
      <c r="L87">
        <v>-4.4499999999999993</v>
      </c>
      <c r="M87">
        <v>0</v>
      </c>
      <c r="N87">
        <v>9.765625E-4</v>
      </c>
      <c r="O87">
        <v>1.0557432432432431E-3</v>
      </c>
      <c r="P87" t="b">
        <v>1</v>
      </c>
      <c r="Q87">
        <v>0</v>
      </c>
      <c r="R87" t="s">
        <v>28</v>
      </c>
      <c r="S87" t="s">
        <v>24</v>
      </c>
    </row>
    <row r="88" spans="1:20" x14ac:dyDescent="0.2">
      <c r="A88" t="s">
        <v>42</v>
      </c>
      <c r="B88" t="s">
        <v>43</v>
      </c>
      <c r="C88" t="s">
        <v>51</v>
      </c>
      <c r="D88" t="s">
        <v>30</v>
      </c>
      <c r="E88" t="s">
        <v>24</v>
      </c>
      <c r="F88" t="s">
        <v>25</v>
      </c>
      <c r="G88" t="s">
        <v>52</v>
      </c>
      <c r="H88" t="s">
        <v>53</v>
      </c>
      <c r="I88">
        <v>11</v>
      </c>
      <c r="J88">
        <v>100</v>
      </c>
      <c r="K88">
        <v>100</v>
      </c>
      <c r="L88">
        <v>0</v>
      </c>
      <c r="M88">
        <v>0</v>
      </c>
      <c r="N88">
        <v>1</v>
      </c>
      <c r="O88">
        <v>1</v>
      </c>
      <c r="P88" t="b">
        <v>0</v>
      </c>
      <c r="Q88">
        <v>0.5</v>
      </c>
      <c r="R88" t="s">
        <v>31</v>
      </c>
      <c r="S88" t="s">
        <v>32</v>
      </c>
      <c r="T88" t="s">
        <v>33</v>
      </c>
    </row>
    <row r="89" spans="1:20" x14ac:dyDescent="0.2">
      <c r="A89" t="s">
        <v>45</v>
      </c>
      <c r="B89" t="s">
        <v>46</v>
      </c>
      <c r="C89" t="s">
        <v>51</v>
      </c>
      <c r="D89" t="s">
        <v>23</v>
      </c>
      <c r="E89" t="s">
        <v>24</v>
      </c>
      <c r="F89" t="s">
        <v>25</v>
      </c>
      <c r="G89" t="s">
        <v>52</v>
      </c>
      <c r="H89" t="s">
        <v>53</v>
      </c>
      <c r="I89">
        <v>11</v>
      </c>
      <c r="J89">
        <v>25529.73</v>
      </c>
      <c r="K89">
        <v>32727.1</v>
      </c>
      <c r="L89">
        <v>-6889.0799999999981</v>
      </c>
      <c r="M89">
        <v>0</v>
      </c>
      <c r="N89">
        <v>9.765625E-4</v>
      </c>
      <c r="O89">
        <v>1.027960526315789E-3</v>
      </c>
      <c r="P89" t="b">
        <v>1</v>
      </c>
      <c r="Q89">
        <v>0</v>
      </c>
      <c r="R89" t="s">
        <v>28</v>
      </c>
      <c r="S89" t="s">
        <v>24</v>
      </c>
    </row>
    <row r="90" spans="1:20" x14ac:dyDescent="0.2">
      <c r="A90" t="s">
        <v>45</v>
      </c>
      <c r="B90" t="s">
        <v>46</v>
      </c>
      <c r="C90" t="s">
        <v>51</v>
      </c>
      <c r="D90" t="s">
        <v>29</v>
      </c>
      <c r="E90" t="s">
        <v>24</v>
      </c>
      <c r="F90" t="s">
        <v>25</v>
      </c>
      <c r="G90" t="s">
        <v>52</v>
      </c>
      <c r="H90" t="s">
        <v>53</v>
      </c>
      <c r="I90">
        <v>11</v>
      </c>
      <c r="J90">
        <v>13</v>
      </c>
      <c r="K90">
        <v>33.26</v>
      </c>
      <c r="L90">
        <v>-20.260000000000002</v>
      </c>
      <c r="M90">
        <v>0</v>
      </c>
      <c r="N90">
        <v>9.765625E-4</v>
      </c>
      <c r="O90">
        <v>1.0557432432432431E-3</v>
      </c>
      <c r="P90" t="b">
        <v>1</v>
      </c>
      <c r="Q90">
        <v>0</v>
      </c>
      <c r="R90" t="s">
        <v>28</v>
      </c>
      <c r="S90" t="s">
        <v>24</v>
      </c>
    </row>
    <row r="91" spans="1:20" x14ac:dyDescent="0.2">
      <c r="A91" t="s">
        <v>45</v>
      </c>
      <c r="B91" t="s">
        <v>46</v>
      </c>
      <c r="C91" t="s">
        <v>51</v>
      </c>
      <c r="D91" t="s">
        <v>30</v>
      </c>
      <c r="E91" t="s">
        <v>24</v>
      </c>
      <c r="F91" t="s">
        <v>25</v>
      </c>
      <c r="G91" t="s">
        <v>52</v>
      </c>
      <c r="H91" t="s">
        <v>53</v>
      </c>
      <c r="I91">
        <v>11</v>
      </c>
      <c r="J91">
        <v>100</v>
      </c>
      <c r="K91">
        <v>99.996000000000009</v>
      </c>
      <c r="L91">
        <v>3.9999999999906777E-3</v>
      </c>
      <c r="M91">
        <v>0</v>
      </c>
      <c r="N91">
        <v>9.765625E-4</v>
      </c>
      <c r="O91">
        <v>1.34698275862069E-3</v>
      </c>
      <c r="P91" t="b">
        <v>1</v>
      </c>
      <c r="Q91">
        <v>1</v>
      </c>
      <c r="R91" t="s">
        <v>28</v>
      </c>
      <c r="S91" t="s">
        <v>52</v>
      </c>
    </row>
    <row r="92" spans="1:20" x14ac:dyDescent="0.2">
      <c r="A92" t="s">
        <v>47</v>
      </c>
      <c r="B92" t="s">
        <v>48</v>
      </c>
      <c r="C92" t="s">
        <v>51</v>
      </c>
      <c r="D92" t="s">
        <v>23</v>
      </c>
      <c r="E92" t="s">
        <v>24</v>
      </c>
      <c r="F92" t="s">
        <v>25</v>
      </c>
      <c r="G92" t="s">
        <v>52</v>
      </c>
      <c r="H92" t="s">
        <v>53</v>
      </c>
      <c r="I92">
        <v>11</v>
      </c>
      <c r="J92">
        <v>645486.98</v>
      </c>
      <c r="K92">
        <v>730312.1100000001</v>
      </c>
      <c r="L92">
        <v>-92168.589999999851</v>
      </c>
      <c r="M92">
        <v>0</v>
      </c>
      <c r="N92">
        <v>9.765625E-4</v>
      </c>
      <c r="O92">
        <v>1.027960526315789E-3</v>
      </c>
      <c r="P92" t="b">
        <v>1</v>
      </c>
      <c r="Q92">
        <v>0</v>
      </c>
      <c r="R92" t="s">
        <v>28</v>
      </c>
      <c r="S92" t="s">
        <v>24</v>
      </c>
    </row>
    <row r="93" spans="1:20" x14ac:dyDescent="0.2">
      <c r="A93" t="s">
        <v>47</v>
      </c>
      <c r="B93" t="s">
        <v>48</v>
      </c>
      <c r="C93" t="s">
        <v>51</v>
      </c>
      <c r="D93" t="s">
        <v>29</v>
      </c>
      <c r="E93" t="s">
        <v>24</v>
      </c>
      <c r="F93" t="s">
        <v>25</v>
      </c>
      <c r="G93" t="s">
        <v>52</v>
      </c>
      <c r="H93" t="s">
        <v>53</v>
      </c>
      <c r="I93">
        <v>11</v>
      </c>
      <c r="J93">
        <v>127.66</v>
      </c>
      <c r="K93">
        <v>311.58999999999997</v>
      </c>
      <c r="L93">
        <v>-183.94</v>
      </c>
      <c r="M93">
        <v>0</v>
      </c>
      <c r="N93">
        <v>9.765625E-4</v>
      </c>
      <c r="O93">
        <v>1.0557432432432431E-3</v>
      </c>
      <c r="P93" t="b">
        <v>1</v>
      </c>
      <c r="Q93">
        <v>0</v>
      </c>
      <c r="R93" t="s">
        <v>28</v>
      </c>
      <c r="S93" t="s">
        <v>24</v>
      </c>
    </row>
    <row r="94" spans="1:20" x14ac:dyDescent="0.2">
      <c r="A94" t="s">
        <v>47</v>
      </c>
      <c r="B94" t="s">
        <v>48</v>
      </c>
      <c r="C94" t="s">
        <v>51</v>
      </c>
      <c r="D94" t="s">
        <v>30</v>
      </c>
      <c r="E94" t="s">
        <v>24</v>
      </c>
      <c r="F94" t="s">
        <v>25</v>
      </c>
      <c r="G94" t="s">
        <v>52</v>
      </c>
      <c r="H94" t="s">
        <v>53</v>
      </c>
      <c r="I94">
        <v>11</v>
      </c>
      <c r="J94">
        <v>100</v>
      </c>
      <c r="K94">
        <v>84.723250000000007</v>
      </c>
      <c r="L94">
        <v>15.276749999999989</v>
      </c>
      <c r="M94">
        <v>0</v>
      </c>
      <c r="N94">
        <v>9.765625E-4</v>
      </c>
      <c r="O94">
        <v>1.34698275862069E-3</v>
      </c>
      <c r="P94" t="b">
        <v>1</v>
      </c>
      <c r="Q94">
        <v>1</v>
      </c>
      <c r="R94" t="s">
        <v>28</v>
      </c>
      <c r="S94" t="s">
        <v>52</v>
      </c>
    </row>
    <row r="95" spans="1:20" x14ac:dyDescent="0.2">
      <c r="A95" t="s">
        <v>49</v>
      </c>
      <c r="B95" t="s">
        <v>50</v>
      </c>
      <c r="C95" t="s">
        <v>51</v>
      </c>
      <c r="D95" t="s">
        <v>23</v>
      </c>
      <c r="E95" t="s">
        <v>24</v>
      </c>
      <c r="F95" t="s">
        <v>25</v>
      </c>
      <c r="G95" t="s">
        <v>52</v>
      </c>
      <c r="H95" t="s">
        <v>53</v>
      </c>
      <c r="I95">
        <v>11</v>
      </c>
      <c r="J95">
        <v>32564.04</v>
      </c>
      <c r="K95">
        <v>383391.07</v>
      </c>
      <c r="L95">
        <v>-350605.83</v>
      </c>
      <c r="M95">
        <v>0</v>
      </c>
      <c r="N95">
        <v>9.765625E-4</v>
      </c>
      <c r="O95">
        <v>1.027960526315789E-3</v>
      </c>
      <c r="P95" t="b">
        <v>1</v>
      </c>
      <c r="Q95">
        <v>0</v>
      </c>
      <c r="R95" t="s">
        <v>28</v>
      </c>
      <c r="S95" t="s">
        <v>24</v>
      </c>
    </row>
    <row r="96" spans="1:20" x14ac:dyDescent="0.2">
      <c r="A96" t="s">
        <v>49</v>
      </c>
      <c r="B96" t="s">
        <v>50</v>
      </c>
      <c r="C96" t="s">
        <v>51</v>
      </c>
      <c r="D96" t="s">
        <v>29</v>
      </c>
      <c r="E96" t="s">
        <v>24</v>
      </c>
      <c r="F96" t="s">
        <v>25</v>
      </c>
      <c r="G96" t="s">
        <v>52</v>
      </c>
      <c r="H96" t="s">
        <v>53</v>
      </c>
      <c r="I96">
        <v>11</v>
      </c>
      <c r="J96">
        <v>15</v>
      </c>
      <c r="K96">
        <v>135.52000000000001</v>
      </c>
      <c r="L96">
        <v>-120.52</v>
      </c>
      <c r="M96">
        <v>0</v>
      </c>
      <c r="N96">
        <v>9.765625E-4</v>
      </c>
      <c r="O96">
        <v>1.0557432432432431E-3</v>
      </c>
      <c r="P96" t="b">
        <v>1</v>
      </c>
      <c r="Q96">
        <v>0</v>
      </c>
      <c r="R96" t="s">
        <v>28</v>
      </c>
      <c r="S96" t="s">
        <v>24</v>
      </c>
    </row>
    <row r="97" spans="1:20" x14ac:dyDescent="0.2">
      <c r="A97" t="s">
        <v>49</v>
      </c>
      <c r="B97" t="s">
        <v>50</v>
      </c>
      <c r="C97" t="s">
        <v>51</v>
      </c>
      <c r="D97" t="s">
        <v>30</v>
      </c>
      <c r="E97" t="s">
        <v>24</v>
      </c>
      <c r="F97" t="s">
        <v>25</v>
      </c>
      <c r="G97" t="s">
        <v>52</v>
      </c>
      <c r="H97" t="s">
        <v>53</v>
      </c>
      <c r="I97">
        <v>11</v>
      </c>
      <c r="J97">
        <v>100</v>
      </c>
      <c r="K97">
        <v>96.103197115384617</v>
      </c>
      <c r="L97">
        <v>3.8968028846153828</v>
      </c>
      <c r="M97">
        <v>0</v>
      </c>
      <c r="N97">
        <v>9.765625E-4</v>
      </c>
      <c r="O97">
        <v>1.34698275862069E-3</v>
      </c>
      <c r="P97" t="b">
        <v>1</v>
      </c>
      <c r="Q97">
        <v>1</v>
      </c>
      <c r="R97" t="s">
        <v>28</v>
      </c>
      <c r="S97" t="s">
        <v>52</v>
      </c>
    </row>
    <row r="98" spans="1:20" x14ac:dyDescent="0.2">
      <c r="A98" t="s">
        <v>20</v>
      </c>
      <c r="B98" t="s">
        <v>21</v>
      </c>
      <c r="C98" t="s">
        <v>51</v>
      </c>
      <c r="D98" t="s">
        <v>23</v>
      </c>
      <c r="E98" t="s">
        <v>26</v>
      </c>
      <c r="F98" t="s">
        <v>27</v>
      </c>
      <c r="G98" t="s">
        <v>52</v>
      </c>
      <c r="H98" t="s">
        <v>53</v>
      </c>
      <c r="I98">
        <v>11</v>
      </c>
      <c r="J98">
        <v>11998.43</v>
      </c>
      <c r="K98">
        <v>648.77</v>
      </c>
      <c r="L98">
        <v>11336.96</v>
      </c>
      <c r="M98">
        <v>0</v>
      </c>
      <c r="N98">
        <v>9.765625E-4</v>
      </c>
      <c r="O98">
        <v>1.027960526315789E-3</v>
      </c>
      <c r="P98" t="b">
        <v>1</v>
      </c>
      <c r="Q98">
        <v>1</v>
      </c>
      <c r="R98" t="s">
        <v>28</v>
      </c>
      <c r="S98" t="s">
        <v>52</v>
      </c>
    </row>
    <row r="99" spans="1:20" x14ac:dyDescent="0.2">
      <c r="A99" t="s">
        <v>20</v>
      </c>
      <c r="B99" t="s">
        <v>21</v>
      </c>
      <c r="C99" t="s">
        <v>51</v>
      </c>
      <c r="D99" t="s">
        <v>29</v>
      </c>
      <c r="E99" t="s">
        <v>26</v>
      </c>
      <c r="F99" t="s">
        <v>27</v>
      </c>
      <c r="G99" t="s">
        <v>52</v>
      </c>
      <c r="H99" t="s">
        <v>53</v>
      </c>
      <c r="I99">
        <v>11</v>
      </c>
      <c r="J99">
        <v>8</v>
      </c>
      <c r="K99">
        <v>6</v>
      </c>
      <c r="L99">
        <v>2</v>
      </c>
      <c r="M99">
        <v>0</v>
      </c>
      <c r="N99">
        <v>9.765625E-4</v>
      </c>
      <c r="O99">
        <v>1.0557432432432431E-3</v>
      </c>
      <c r="P99" t="b">
        <v>1</v>
      </c>
      <c r="Q99">
        <v>1</v>
      </c>
      <c r="R99" t="s">
        <v>28</v>
      </c>
      <c r="S99" t="s">
        <v>52</v>
      </c>
    </row>
    <row r="100" spans="1:20" x14ac:dyDescent="0.2">
      <c r="A100" t="s">
        <v>20</v>
      </c>
      <c r="B100" t="s">
        <v>21</v>
      </c>
      <c r="C100" t="s">
        <v>51</v>
      </c>
      <c r="D100" t="s">
        <v>30</v>
      </c>
      <c r="E100" t="s">
        <v>26</v>
      </c>
      <c r="F100" t="s">
        <v>27</v>
      </c>
      <c r="G100" t="s">
        <v>52</v>
      </c>
      <c r="H100" t="s">
        <v>53</v>
      </c>
      <c r="I100">
        <v>11</v>
      </c>
      <c r="J100">
        <v>100</v>
      </c>
      <c r="K100">
        <v>100</v>
      </c>
      <c r="L100">
        <v>0</v>
      </c>
      <c r="M100">
        <v>0</v>
      </c>
      <c r="N100">
        <v>1</v>
      </c>
      <c r="O100">
        <v>1</v>
      </c>
      <c r="P100" t="b">
        <v>0</v>
      </c>
      <c r="Q100">
        <v>0.5</v>
      </c>
      <c r="R100" t="s">
        <v>31</v>
      </c>
      <c r="S100" t="s">
        <v>32</v>
      </c>
      <c r="T100" t="s">
        <v>33</v>
      </c>
    </row>
    <row r="101" spans="1:20" x14ac:dyDescent="0.2">
      <c r="A101" t="s">
        <v>36</v>
      </c>
      <c r="B101" t="s">
        <v>37</v>
      </c>
      <c r="C101" t="s">
        <v>51</v>
      </c>
      <c r="D101" t="s">
        <v>23</v>
      </c>
      <c r="E101" t="s">
        <v>26</v>
      </c>
      <c r="F101" t="s">
        <v>27</v>
      </c>
      <c r="G101" t="s">
        <v>52</v>
      </c>
      <c r="H101" t="s">
        <v>53</v>
      </c>
      <c r="I101">
        <v>11</v>
      </c>
      <c r="J101">
        <v>21542.639999999999</v>
      </c>
      <c r="K101">
        <v>1309.95</v>
      </c>
      <c r="L101">
        <v>19875.240000000002</v>
      </c>
      <c r="M101">
        <v>0</v>
      </c>
      <c r="N101">
        <v>9.765625E-4</v>
      </c>
      <c r="O101">
        <v>1.027960526315789E-3</v>
      </c>
      <c r="P101" t="b">
        <v>1</v>
      </c>
      <c r="Q101">
        <v>1</v>
      </c>
      <c r="R101" t="s">
        <v>28</v>
      </c>
      <c r="S101" t="s">
        <v>52</v>
      </c>
    </row>
    <row r="102" spans="1:20" x14ac:dyDescent="0.2">
      <c r="A102" t="s">
        <v>36</v>
      </c>
      <c r="B102" t="s">
        <v>37</v>
      </c>
      <c r="C102" t="s">
        <v>51</v>
      </c>
      <c r="D102" t="s">
        <v>29</v>
      </c>
      <c r="E102" t="s">
        <v>26</v>
      </c>
      <c r="F102" t="s">
        <v>27</v>
      </c>
      <c r="G102" t="s">
        <v>52</v>
      </c>
      <c r="H102" t="s">
        <v>53</v>
      </c>
      <c r="I102">
        <v>11</v>
      </c>
      <c r="J102">
        <v>8</v>
      </c>
      <c r="K102">
        <v>7</v>
      </c>
      <c r="L102">
        <v>1</v>
      </c>
      <c r="M102">
        <v>0</v>
      </c>
      <c r="N102">
        <v>9.765625E-4</v>
      </c>
      <c r="O102">
        <v>1.0557432432432431E-3</v>
      </c>
      <c r="P102" t="b">
        <v>1</v>
      </c>
      <c r="Q102">
        <v>1</v>
      </c>
      <c r="R102" t="s">
        <v>28</v>
      </c>
      <c r="S102" t="s">
        <v>52</v>
      </c>
    </row>
    <row r="103" spans="1:20" x14ac:dyDescent="0.2">
      <c r="A103" t="s">
        <v>36</v>
      </c>
      <c r="B103" t="s">
        <v>37</v>
      </c>
      <c r="C103" t="s">
        <v>51</v>
      </c>
      <c r="D103" t="s">
        <v>30</v>
      </c>
      <c r="E103" t="s">
        <v>26</v>
      </c>
      <c r="F103" t="s">
        <v>27</v>
      </c>
      <c r="G103" t="s">
        <v>52</v>
      </c>
      <c r="H103" t="s">
        <v>53</v>
      </c>
      <c r="I103">
        <v>11</v>
      </c>
      <c r="J103">
        <v>35.753043478260857</v>
      </c>
      <c r="K103">
        <v>100</v>
      </c>
      <c r="L103">
        <v>-64.246956521739151</v>
      </c>
      <c r="M103">
        <v>0</v>
      </c>
      <c r="N103">
        <v>9.765625E-4</v>
      </c>
      <c r="O103">
        <v>1.34698275862069E-3</v>
      </c>
      <c r="P103" t="b">
        <v>1</v>
      </c>
      <c r="Q103">
        <v>0</v>
      </c>
      <c r="R103" t="s">
        <v>28</v>
      </c>
      <c r="S103" t="s">
        <v>26</v>
      </c>
    </row>
    <row r="104" spans="1:20" x14ac:dyDescent="0.2">
      <c r="A104" t="s">
        <v>38</v>
      </c>
      <c r="B104" t="s">
        <v>39</v>
      </c>
      <c r="C104" t="s">
        <v>51</v>
      </c>
      <c r="D104" t="s">
        <v>23</v>
      </c>
      <c r="E104" t="s">
        <v>26</v>
      </c>
      <c r="F104" t="s">
        <v>27</v>
      </c>
      <c r="G104" t="s">
        <v>52</v>
      </c>
      <c r="H104" t="s">
        <v>53</v>
      </c>
      <c r="I104">
        <v>11</v>
      </c>
      <c r="J104">
        <v>40288.089999999997</v>
      </c>
      <c r="K104">
        <v>2287.19</v>
      </c>
      <c r="L104">
        <v>37649.18</v>
      </c>
      <c r="M104">
        <v>0</v>
      </c>
      <c r="N104">
        <v>9.765625E-4</v>
      </c>
      <c r="O104">
        <v>1.027960526315789E-3</v>
      </c>
      <c r="P104" t="b">
        <v>1</v>
      </c>
      <c r="Q104">
        <v>1</v>
      </c>
      <c r="R104" t="s">
        <v>28</v>
      </c>
      <c r="S104" t="s">
        <v>52</v>
      </c>
    </row>
    <row r="105" spans="1:20" x14ac:dyDescent="0.2">
      <c r="A105" t="s">
        <v>38</v>
      </c>
      <c r="B105" t="s">
        <v>39</v>
      </c>
      <c r="C105" t="s">
        <v>51</v>
      </c>
      <c r="D105" t="s">
        <v>29</v>
      </c>
      <c r="E105" t="s">
        <v>26</v>
      </c>
      <c r="F105" t="s">
        <v>27</v>
      </c>
      <c r="G105" t="s">
        <v>52</v>
      </c>
      <c r="H105" t="s">
        <v>53</v>
      </c>
      <c r="I105">
        <v>11</v>
      </c>
      <c r="J105">
        <v>9</v>
      </c>
      <c r="K105">
        <v>7</v>
      </c>
      <c r="L105">
        <v>2</v>
      </c>
      <c r="M105">
        <v>0</v>
      </c>
      <c r="N105">
        <v>9.765625E-4</v>
      </c>
      <c r="O105">
        <v>1.0557432432432431E-3</v>
      </c>
      <c r="P105" t="b">
        <v>1</v>
      </c>
      <c r="Q105">
        <v>1</v>
      </c>
      <c r="R105" t="s">
        <v>28</v>
      </c>
      <c r="S105" t="s">
        <v>52</v>
      </c>
    </row>
    <row r="106" spans="1:20" x14ac:dyDescent="0.2">
      <c r="A106" t="s">
        <v>38</v>
      </c>
      <c r="B106" t="s">
        <v>39</v>
      </c>
      <c r="C106" t="s">
        <v>51</v>
      </c>
      <c r="D106" t="s">
        <v>30</v>
      </c>
      <c r="E106" t="s">
        <v>26</v>
      </c>
      <c r="F106" t="s">
        <v>27</v>
      </c>
      <c r="G106" t="s">
        <v>52</v>
      </c>
      <c r="H106" t="s">
        <v>53</v>
      </c>
      <c r="I106">
        <v>11</v>
      </c>
      <c r="J106">
        <v>98.105476190476196</v>
      </c>
      <c r="K106">
        <v>100</v>
      </c>
      <c r="L106">
        <v>-1.8945238095238039</v>
      </c>
      <c r="M106">
        <v>0</v>
      </c>
      <c r="N106">
        <v>9.765625E-4</v>
      </c>
      <c r="O106">
        <v>1.34698275862069E-3</v>
      </c>
      <c r="P106" t="b">
        <v>1</v>
      </c>
      <c r="Q106">
        <v>0</v>
      </c>
      <c r="R106" t="s">
        <v>28</v>
      </c>
      <c r="S106" t="s">
        <v>26</v>
      </c>
    </row>
    <row r="107" spans="1:20" x14ac:dyDescent="0.2">
      <c r="A107" t="s">
        <v>40</v>
      </c>
      <c r="B107" t="s">
        <v>41</v>
      </c>
      <c r="C107" t="s">
        <v>51</v>
      </c>
      <c r="D107" t="s">
        <v>23</v>
      </c>
      <c r="E107" t="s">
        <v>26</v>
      </c>
      <c r="F107" t="s">
        <v>27</v>
      </c>
      <c r="G107" t="s">
        <v>52</v>
      </c>
      <c r="H107" t="s">
        <v>53</v>
      </c>
      <c r="I107">
        <v>11</v>
      </c>
      <c r="J107">
        <v>664279.59000000008</v>
      </c>
      <c r="K107">
        <v>12945.34</v>
      </c>
      <c r="L107">
        <v>651529.05000000005</v>
      </c>
      <c r="M107">
        <v>0</v>
      </c>
      <c r="N107">
        <v>9.765625E-4</v>
      </c>
      <c r="O107">
        <v>1.027960526315789E-3</v>
      </c>
      <c r="P107" t="b">
        <v>1</v>
      </c>
      <c r="Q107">
        <v>1</v>
      </c>
      <c r="R107" t="s">
        <v>28</v>
      </c>
      <c r="S107" t="s">
        <v>52</v>
      </c>
    </row>
    <row r="108" spans="1:20" x14ac:dyDescent="0.2">
      <c r="A108" t="s">
        <v>40</v>
      </c>
      <c r="B108" t="s">
        <v>41</v>
      </c>
      <c r="C108" t="s">
        <v>51</v>
      </c>
      <c r="D108" t="s">
        <v>29</v>
      </c>
      <c r="E108" t="s">
        <v>26</v>
      </c>
      <c r="F108" t="s">
        <v>27</v>
      </c>
      <c r="G108" t="s">
        <v>52</v>
      </c>
      <c r="H108" t="s">
        <v>53</v>
      </c>
      <c r="I108">
        <v>11</v>
      </c>
      <c r="J108">
        <v>10</v>
      </c>
      <c r="K108">
        <v>12.14</v>
      </c>
      <c r="L108">
        <v>-2.140000000000001</v>
      </c>
      <c r="M108">
        <v>0</v>
      </c>
      <c r="N108">
        <v>9.765625E-4</v>
      </c>
      <c r="O108">
        <v>1.0557432432432431E-3</v>
      </c>
      <c r="P108" t="b">
        <v>1</v>
      </c>
      <c r="Q108">
        <v>0</v>
      </c>
      <c r="R108" t="s">
        <v>28</v>
      </c>
      <c r="S108" t="s">
        <v>26</v>
      </c>
    </row>
    <row r="109" spans="1:20" x14ac:dyDescent="0.2">
      <c r="A109" t="s">
        <v>40</v>
      </c>
      <c r="B109" t="s">
        <v>41</v>
      </c>
      <c r="C109" t="s">
        <v>51</v>
      </c>
      <c r="D109" t="s">
        <v>30</v>
      </c>
      <c r="E109" t="s">
        <v>26</v>
      </c>
      <c r="F109" t="s">
        <v>27</v>
      </c>
      <c r="G109" t="s">
        <v>52</v>
      </c>
      <c r="H109" t="s">
        <v>53</v>
      </c>
      <c r="I109">
        <v>11</v>
      </c>
      <c r="J109">
        <v>96.405361445783129</v>
      </c>
      <c r="K109">
        <v>100</v>
      </c>
      <c r="L109">
        <v>-3.5946385542168708</v>
      </c>
      <c r="M109">
        <v>0</v>
      </c>
      <c r="N109">
        <v>9.765625E-4</v>
      </c>
      <c r="O109">
        <v>1.34698275862069E-3</v>
      </c>
      <c r="P109" t="b">
        <v>1</v>
      </c>
      <c r="Q109">
        <v>0</v>
      </c>
      <c r="R109" t="s">
        <v>28</v>
      </c>
      <c r="S109" t="s">
        <v>26</v>
      </c>
    </row>
    <row r="110" spans="1:20" x14ac:dyDescent="0.2">
      <c r="A110" t="s">
        <v>42</v>
      </c>
      <c r="B110" t="s">
        <v>43</v>
      </c>
      <c r="C110" t="s">
        <v>51</v>
      </c>
      <c r="D110" t="s">
        <v>23</v>
      </c>
      <c r="E110" t="s">
        <v>26</v>
      </c>
      <c r="F110" t="s">
        <v>27</v>
      </c>
      <c r="G110" t="s">
        <v>52</v>
      </c>
      <c r="H110" t="s">
        <v>53</v>
      </c>
      <c r="I110">
        <v>11</v>
      </c>
      <c r="J110">
        <v>3303437.810000001</v>
      </c>
      <c r="K110">
        <v>98011.090000000011</v>
      </c>
      <c r="L110">
        <v>3202752.9000000008</v>
      </c>
      <c r="M110">
        <v>0</v>
      </c>
      <c r="N110">
        <v>9.765625E-4</v>
      </c>
      <c r="O110">
        <v>1.027960526315789E-3</v>
      </c>
      <c r="P110" t="b">
        <v>1</v>
      </c>
      <c r="Q110">
        <v>1</v>
      </c>
      <c r="R110" t="s">
        <v>28</v>
      </c>
      <c r="S110" t="s">
        <v>52</v>
      </c>
    </row>
    <row r="111" spans="1:20" x14ac:dyDescent="0.2">
      <c r="A111" t="s">
        <v>42</v>
      </c>
      <c r="B111" t="s">
        <v>43</v>
      </c>
      <c r="C111" t="s">
        <v>51</v>
      </c>
      <c r="D111" t="s">
        <v>29</v>
      </c>
      <c r="E111" t="s">
        <v>26</v>
      </c>
      <c r="F111" t="s">
        <v>27</v>
      </c>
      <c r="G111" t="s">
        <v>52</v>
      </c>
      <c r="H111" t="s">
        <v>53</v>
      </c>
      <c r="I111">
        <v>11</v>
      </c>
      <c r="J111">
        <v>15</v>
      </c>
      <c r="K111">
        <v>19.45</v>
      </c>
      <c r="L111">
        <v>-4.4499999999999993</v>
      </c>
      <c r="M111">
        <v>0</v>
      </c>
      <c r="N111">
        <v>9.765625E-4</v>
      </c>
      <c r="O111">
        <v>1.0557432432432431E-3</v>
      </c>
      <c r="P111" t="b">
        <v>1</v>
      </c>
      <c r="Q111">
        <v>0</v>
      </c>
      <c r="R111" t="s">
        <v>28</v>
      </c>
      <c r="S111" t="s">
        <v>26</v>
      </c>
    </row>
    <row r="112" spans="1:20" x14ac:dyDescent="0.2">
      <c r="A112" t="s">
        <v>42</v>
      </c>
      <c r="B112" t="s">
        <v>43</v>
      </c>
      <c r="C112" t="s">
        <v>51</v>
      </c>
      <c r="D112" t="s">
        <v>30</v>
      </c>
      <c r="E112" t="s">
        <v>26</v>
      </c>
      <c r="F112" t="s">
        <v>27</v>
      </c>
      <c r="G112" t="s">
        <v>52</v>
      </c>
      <c r="H112" t="s">
        <v>53</v>
      </c>
      <c r="I112">
        <v>11</v>
      </c>
      <c r="J112">
        <v>68.809613363363368</v>
      </c>
      <c r="K112">
        <v>100</v>
      </c>
      <c r="L112">
        <v>-31.190386636636632</v>
      </c>
      <c r="M112">
        <v>0</v>
      </c>
      <c r="N112">
        <v>9.765625E-4</v>
      </c>
      <c r="O112">
        <v>1.34698275862069E-3</v>
      </c>
      <c r="P112" t="b">
        <v>1</v>
      </c>
      <c r="Q112">
        <v>0</v>
      </c>
      <c r="R112" t="s">
        <v>28</v>
      </c>
      <c r="S112" t="s">
        <v>26</v>
      </c>
    </row>
    <row r="113" spans="1:19" x14ac:dyDescent="0.2">
      <c r="A113" t="s">
        <v>45</v>
      </c>
      <c r="B113" t="s">
        <v>46</v>
      </c>
      <c r="C113" t="s">
        <v>51</v>
      </c>
      <c r="D113" t="s">
        <v>23</v>
      </c>
      <c r="E113" t="s">
        <v>26</v>
      </c>
      <c r="F113" t="s">
        <v>27</v>
      </c>
      <c r="G113" t="s">
        <v>52</v>
      </c>
      <c r="H113" t="s">
        <v>53</v>
      </c>
      <c r="I113">
        <v>11</v>
      </c>
      <c r="J113">
        <v>579951.01</v>
      </c>
      <c r="K113">
        <v>32727.1</v>
      </c>
      <c r="L113">
        <v>547567.35999999999</v>
      </c>
      <c r="M113">
        <v>0</v>
      </c>
      <c r="N113">
        <v>9.765625E-4</v>
      </c>
      <c r="O113">
        <v>1.027960526315789E-3</v>
      </c>
      <c r="P113" t="b">
        <v>1</v>
      </c>
      <c r="Q113">
        <v>1</v>
      </c>
      <c r="R113" t="s">
        <v>28</v>
      </c>
      <c r="S113" t="s">
        <v>52</v>
      </c>
    </row>
    <row r="114" spans="1:19" x14ac:dyDescent="0.2">
      <c r="A114" t="s">
        <v>45</v>
      </c>
      <c r="B114" t="s">
        <v>46</v>
      </c>
      <c r="C114" t="s">
        <v>51</v>
      </c>
      <c r="D114" t="s">
        <v>29</v>
      </c>
      <c r="E114" t="s">
        <v>26</v>
      </c>
      <c r="F114" t="s">
        <v>27</v>
      </c>
      <c r="G114" t="s">
        <v>52</v>
      </c>
      <c r="H114" t="s">
        <v>53</v>
      </c>
      <c r="I114">
        <v>11</v>
      </c>
      <c r="J114">
        <v>13.31</v>
      </c>
      <c r="K114">
        <v>33.26</v>
      </c>
      <c r="L114">
        <v>-19.95</v>
      </c>
      <c r="M114">
        <v>0</v>
      </c>
      <c r="N114">
        <v>9.765625E-4</v>
      </c>
      <c r="O114">
        <v>1.0557432432432431E-3</v>
      </c>
      <c r="P114" t="b">
        <v>1</v>
      </c>
      <c r="Q114">
        <v>0</v>
      </c>
      <c r="R114" t="s">
        <v>28</v>
      </c>
      <c r="S114" t="s">
        <v>26</v>
      </c>
    </row>
    <row r="115" spans="1:19" x14ac:dyDescent="0.2">
      <c r="A115" t="s">
        <v>45</v>
      </c>
      <c r="B115" t="s">
        <v>46</v>
      </c>
      <c r="C115" t="s">
        <v>51</v>
      </c>
      <c r="D115" t="s">
        <v>30</v>
      </c>
      <c r="E115" t="s">
        <v>26</v>
      </c>
      <c r="F115" t="s">
        <v>27</v>
      </c>
      <c r="G115" t="s">
        <v>52</v>
      </c>
      <c r="H115" t="s">
        <v>53</v>
      </c>
      <c r="I115">
        <v>11</v>
      </c>
      <c r="J115">
        <v>92.566375000000008</v>
      </c>
      <c r="K115">
        <v>99.996000000000009</v>
      </c>
      <c r="L115">
        <v>-7.4296250000000006</v>
      </c>
      <c r="M115">
        <v>0</v>
      </c>
      <c r="N115">
        <v>9.765625E-4</v>
      </c>
      <c r="O115">
        <v>1.34698275862069E-3</v>
      </c>
      <c r="P115" t="b">
        <v>1</v>
      </c>
      <c r="Q115">
        <v>0</v>
      </c>
      <c r="R115" t="s">
        <v>28</v>
      </c>
      <c r="S115" t="s">
        <v>26</v>
      </c>
    </row>
    <row r="116" spans="1:19" x14ac:dyDescent="0.2">
      <c r="A116" t="s">
        <v>47</v>
      </c>
      <c r="B116" t="s">
        <v>48</v>
      </c>
      <c r="C116" t="s">
        <v>51</v>
      </c>
      <c r="D116" t="s">
        <v>23</v>
      </c>
      <c r="E116" t="s">
        <v>26</v>
      </c>
      <c r="F116" t="s">
        <v>27</v>
      </c>
      <c r="G116" t="s">
        <v>52</v>
      </c>
      <c r="H116" t="s">
        <v>53</v>
      </c>
      <c r="I116">
        <v>11</v>
      </c>
      <c r="J116">
        <v>809451.26</v>
      </c>
      <c r="K116">
        <v>730312.1100000001</v>
      </c>
      <c r="L116">
        <v>76559.030000000028</v>
      </c>
      <c r="M116">
        <v>0</v>
      </c>
      <c r="N116">
        <v>9.765625E-4</v>
      </c>
      <c r="O116">
        <v>1.027960526315789E-3</v>
      </c>
      <c r="P116" t="b">
        <v>1</v>
      </c>
      <c r="Q116">
        <v>1</v>
      </c>
      <c r="R116" t="s">
        <v>28</v>
      </c>
      <c r="S116" t="s">
        <v>52</v>
      </c>
    </row>
    <row r="117" spans="1:19" x14ac:dyDescent="0.2">
      <c r="A117" t="s">
        <v>47</v>
      </c>
      <c r="B117" t="s">
        <v>48</v>
      </c>
      <c r="C117" t="s">
        <v>51</v>
      </c>
      <c r="D117" t="s">
        <v>29</v>
      </c>
      <c r="E117" t="s">
        <v>26</v>
      </c>
      <c r="F117" t="s">
        <v>27</v>
      </c>
      <c r="G117" t="s">
        <v>52</v>
      </c>
      <c r="H117" t="s">
        <v>53</v>
      </c>
      <c r="I117">
        <v>11</v>
      </c>
      <c r="J117">
        <v>40.67</v>
      </c>
      <c r="K117">
        <v>311.58999999999997</v>
      </c>
      <c r="L117">
        <v>-270.92</v>
      </c>
      <c r="M117">
        <v>0</v>
      </c>
      <c r="N117">
        <v>9.765625E-4</v>
      </c>
      <c r="O117">
        <v>1.0557432432432431E-3</v>
      </c>
      <c r="P117" t="b">
        <v>1</v>
      </c>
      <c r="Q117">
        <v>0</v>
      </c>
      <c r="R117" t="s">
        <v>28</v>
      </c>
      <c r="S117" t="s">
        <v>26</v>
      </c>
    </row>
    <row r="118" spans="1:19" x14ac:dyDescent="0.2">
      <c r="A118" t="s">
        <v>47</v>
      </c>
      <c r="B118" t="s">
        <v>48</v>
      </c>
      <c r="C118" t="s">
        <v>51</v>
      </c>
      <c r="D118" t="s">
        <v>30</v>
      </c>
      <c r="E118" t="s">
        <v>26</v>
      </c>
      <c r="F118" t="s">
        <v>27</v>
      </c>
      <c r="G118" t="s">
        <v>52</v>
      </c>
      <c r="H118" t="s">
        <v>53</v>
      </c>
      <c r="I118">
        <v>11</v>
      </c>
      <c r="J118">
        <v>4.0951250000000003</v>
      </c>
      <c r="K118">
        <v>84.723250000000007</v>
      </c>
      <c r="L118">
        <v>-80.628125000000011</v>
      </c>
      <c r="M118">
        <v>0</v>
      </c>
      <c r="N118">
        <v>9.765625E-4</v>
      </c>
      <c r="O118">
        <v>1.34698275862069E-3</v>
      </c>
      <c r="P118" t="b">
        <v>1</v>
      </c>
      <c r="Q118">
        <v>0</v>
      </c>
      <c r="R118" t="s">
        <v>28</v>
      </c>
      <c r="S118" t="s">
        <v>26</v>
      </c>
    </row>
    <row r="119" spans="1:19" x14ac:dyDescent="0.2">
      <c r="A119" t="s">
        <v>49</v>
      </c>
      <c r="B119" t="s">
        <v>50</v>
      </c>
      <c r="C119" t="s">
        <v>51</v>
      </c>
      <c r="D119" t="s">
        <v>23</v>
      </c>
      <c r="E119" t="s">
        <v>26</v>
      </c>
      <c r="F119" t="s">
        <v>27</v>
      </c>
      <c r="G119" t="s">
        <v>52</v>
      </c>
      <c r="H119" t="s">
        <v>53</v>
      </c>
      <c r="I119">
        <v>11</v>
      </c>
      <c r="J119">
        <v>684224.61</v>
      </c>
      <c r="K119">
        <v>383391.07</v>
      </c>
      <c r="L119">
        <v>299557.40000000002</v>
      </c>
      <c r="M119">
        <v>0</v>
      </c>
      <c r="N119">
        <v>9.765625E-4</v>
      </c>
      <c r="O119">
        <v>1.027960526315789E-3</v>
      </c>
      <c r="P119" t="b">
        <v>1</v>
      </c>
      <c r="Q119">
        <v>1</v>
      </c>
      <c r="R119" t="s">
        <v>28</v>
      </c>
      <c r="S119" t="s">
        <v>52</v>
      </c>
    </row>
    <row r="120" spans="1:19" x14ac:dyDescent="0.2">
      <c r="A120" t="s">
        <v>49</v>
      </c>
      <c r="B120" t="s">
        <v>50</v>
      </c>
      <c r="C120" t="s">
        <v>51</v>
      </c>
      <c r="D120" t="s">
        <v>29</v>
      </c>
      <c r="E120" t="s">
        <v>26</v>
      </c>
      <c r="F120" t="s">
        <v>27</v>
      </c>
      <c r="G120" t="s">
        <v>52</v>
      </c>
      <c r="H120" t="s">
        <v>53</v>
      </c>
      <c r="I120">
        <v>11</v>
      </c>
      <c r="J120">
        <v>17</v>
      </c>
      <c r="K120">
        <v>135.52000000000001</v>
      </c>
      <c r="L120">
        <v>-118.52</v>
      </c>
      <c r="M120">
        <v>0</v>
      </c>
      <c r="N120">
        <v>9.765625E-4</v>
      </c>
      <c r="O120">
        <v>1.0557432432432431E-3</v>
      </c>
      <c r="P120" t="b">
        <v>1</v>
      </c>
      <c r="Q120">
        <v>0</v>
      </c>
      <c r="R120" t="s">
        <v>28</v>
      </c>
      <c r="S120" t="s">
        <v>26</v>
      </c>
    </row>
    <row r="121" spans="1:19" x14ac:dyDescent="0.2">
      <c r="A121" t="s">
        <v>49</v>
      </c>
      <c r="B121" t="s">
        <v>50</v>
      </c>
      <c r="C121" t="s">
        <v>51</v>
      </c>
      <c r="D121" t="s">
        <v>30</v>
      </c>
      <c r="E121" t="s">
        <v>26</v>
      </c>
      <c r="F121" t="s">
        <v>27</v>
      </c>
      <c r="G121" t="s">
        <v>52</v>
      </c>
      <c r="H121" t="s">
        <v>53</v>
      </c>
      <c r="I121">
        <v>11</v>
      </c>
      <c r="J121">
        <v>37.406947115384618</v>
      </c>
      <c r="K121">
        <v>96.103197115384617</v>
      </c>
      <c r="L121">
        <v>-58.696249999999999</v>
      </c>
      <c r="M121">
        <v>0</v>
      </c>
      <c r="N121">
        <v>9.765625E-4</v>
      </c>
      <c r="O121">
        <v>1.34698275862069E-3</v>
      </c>
      <c r="P121" t="b">
        <v>1</v>
      </c>
      <c r="Q121">
        <v>0</v>
      </c>
      <c r="R121" t="s">
        <v>28</v>
      </c>
      <c r="S12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1"/>
  <sheetViews>
    <sheetView tabSelected="1" workbookViewId="0">
      <selection activeCell="A14" sqref="A14:XFD14"/>
    </sheetView>
  </sheetViews>
  <sheetFormatPr baseColWidth="10" defaultColWidth="8.83203125" defaultRowHeight="15" x14ac:dyDescent="0.2"/>
  <cols>
    <col min="1" max="1" width="5" bestFit="1" customWidth="1"/>
    <col min="2" max="2" width="27" bestFit="1" customWidth="1"/>
    <col min="4" max="4" width="13.83203125" bestFit="1" customWidth="1"/>
    <col min="5" max="5" width="9.5" bestFit="1" customWidth="1"/>
    <col min="6" max="6" width="21.1640625" bestFit="1" customWidth="1"/>
    <col min="7" max="7" width="11.33203125" bestFit="1" customWidth="1"/>
    <col min="8" max="8" width="15.5" bestFit="1" customWidth="1"/>
    <col min="10" max="10" width="11.1640625" bestFit="1" customWidth="1"/>
    <col min="11" max="11" width="18.33203125" style="1" bestFit="1" customWidth="1"/>
    <col min="13" max="13" width="18.33203125" style="1" bestFit="1" customWidth="1"/>
    <col min="14" max="14" width="9.6640625" style="1" customWidth="1"/>
    <col min="15" max="15" width="14.1640625" bestFit="1" customWidth="1"/>
    <col min="20" max="20" width="12.1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55</v>
      </c>
      <c r="L1" t="s">
        <v>10</v>
      </c>
      <c r="M1" s="1" t="s">
        <v>56</v>
      </c>
      <c r="N1" s="1" t="s">
        <v>54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</v>
      </c>
      <c r="J2">
        <v>1389.56</v>
      </c>
      <c r="K2" s="1">
        <f t="shared" ref="K2:K41" si="0">J2/1000</f>
        <v>1.3895599999999999</v>
      </c>
      <c r="L2">
        <v>11998.43</v>
      </c>
      <c r="M2" s="1">
        <f>L2/1000</f>
        <v>11.998430000000001</v>
      </c>
      <c r="N2" s="1">
        <f>M2/K2</f>
        <v>8.6346973142577514</v>
      </c>
      <c r="O2">
        <v>-10813.66</v>
      </c>
      <c r="P2">
        <v>0</v>
      </c>
      <c r="Q2">
        <v>9.765625E-4</v>
      </c>
      <c r="R2">
        <v>1.027960526315789E-3</v>
      </c>
      <c r="S2" t="b">
        <v>1</v>
      </c>
      <c r="T2">
        <v>0</v>
      </c>
      <c r="U2" t="s">
        <v>28</v>
      </c>
      <c r="V2" t="s">
        <v>24</v>
      </c>
    </row>
    <row r="3" spans="1:23" x14ac:dyDescent="0.2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11</v>
      </c>
      <c r="J3">
        <v>1531.63</v>
      </c>
      <c r="K3" s="1">
        <f t="shared" si="0"/>
        <v>1.53163</v>
      </c>
      <c r="L3">
        <v>12223.56</v>
      </c>
      <c r="M3" s="1">
        <f t="shared" ref="M3:M41" si="1">L3/1000</f>
        <v>12.223559999999999</v>
      </c>
      <c r="N3" s="1">
        <f t="shared" ref="N3:N41" si="2">M3/K3</f>
        <v>7.980752531616643</v>
      </c>
      <c r="O3">
        <v>-10643.89</v>
      </c>
      <c r="P3">
        <v>0</v>
      </c>
      <c r="Q3">
        <v>9.765625E-4</v>
      </c>
      <c r="R3">
        <v>1.027960526315789E-3</v>
      </c>
      <c r="S3" t="b">
        <v>1</v>
      </c>
      <c r="T3">
        <v>0</v>
      </c>
      <c r="U3" t="s">
        <v>28</v>
      </c>
      <c r="V3" t="s">
        <v>24</v>
      </c>
    </row>
    <row r="4" spans="1:23" x14ac:dyDescent="0.2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>
        <v>11</v>
      </c>
      <c r="J4">
        <v>1534.27</v>
      </c>
      <c r="K4" s="1">
        <f t="shared" si="0"/>
        <v>1.53427</v>
      </c>
      <c r="L4">
        <v>11171.19</v>
      </c>
      <c r="M4" s="1">
        <f t="shared" si="1"/>
        <v>11.171190000000001</v>
      </c>
      <c r="N4" s="1">
        <f t="shared" si="2"/>
        <v>7.2811108866105707</v>
      </c>
      <c r="O4">
        <v>-9701.27</v>
      </c>
      <c r="P4">
        <v>0</v>
      </c>
      <c r="Q4">
        <v>9.765625E-4</v>
      </c>
      <c r="R4">
        <v>1.027960526315789E-3</v>
      </c>
      <c r="S4" t="b">
        <v>1</v>
      </c>
      <c r="T4">
        <v>0</v>
      </c>
      <c r="U4" t="s">
        <v>28</v>
      </c>
      <c r="V4" t="s">
        <v>24</v>
      </c>
    </row>
    <row r="5" spans="1:23" x14ac:dyDescent="0.2">
      <c r="A5" t="s">
        <v>36</v>
      </c>
      <c r="B5" t="s">
        <v>37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>
        <v>11</v>
      </c>
      <c r="J5">
        <v>2773.92</v>
      </c>
      <c r="K5" s="1">
        <f t="shared" si="0"/>
        <v>2.7739199999999999</v>
      </c>
      <c r="L5">
        <v>21542.639999999999</v>
      </c>
      <c r="M5" s="1">
        <f t="shared" si="1"/>
        <v>21.542639999999999</v>
      </c>
      <c r="N5" s="1">
        <f t="shared" si="2"/>
        <v>7.7661360096902579</v>
      </c>
      <c r="O5">
        <v>-18768.52</v>
      </c>
      <c r="P5">
        <v>0</v>
      </c>
      <c r="Q5">
        <v>9.765625E-4</v>
      </c>
      <c r="R5">
        <v>1.027960526315789E-3</v>
      </c>
      <c r="S5" t="b">
        <v>1</v>
      </c>
      <c r="T5">
        <v>0</v>
      </c>
      <c r="U5" t="s">
        <v>28</v>
      </c>
      <c r="V5" t="s">
        <v>24</v>
      </c>
    </row>
    <row r="6" spans="1:23" x14ac:dyDescent="0.2">
      <c r="A6" t="s">
        <v>36</v>
      </c>
      <c r="B6" t="s">
        <v>37</v>
      </c>
      <c r="C6" t="s">
        <v>34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>
        <v>11</v>
      </c>
      <c r="J6">
        <v>3919.68</v>
      </c>
      <c r="K6" s="1">
        <f t="shared" si="0"/>
        <v>3.9196800000000001</v>
      </c>
      <c r="L6">
        <v>20185.07</v>
      </c>
      <c r="M6" s="1">
        <f t="shared" si="1"/>
        <v>20.18507</v>
      </c>
      <c r="N6" s="1">
        <f t="shared" si="2"/>
        <v>5.1496729324842843</v>
      </c>
      <c r="O6">
        <v>-16352.62</v>
      </c>
      <c r="P6">
        <v>0</v>
      </c>
      <c r="Q6">
        <v>9.765625E-4</v>
      </c>
      <c r="R6">
        <v>1.027960526315789E-3</v>
      </c>
      <c r="S6" t="b">
        <v>1</v>
      </c>
      <c r="T6">
        <v>0</v>
      </c>
      <c r="U6" t="s">
        <v>28</v>
      </c>
      <c r="V6" t="s">
        <v>24</v>
      </c>
    </row>
    <row r="7" spans="1:23" x14ac:dyDescent="0.2">
      <c r="A7" t="s">
        <v>36</v>
      </c>
      <c r="B7" t="s">
        <v>37</v>
      </c>
      <c r="C7" t="s">
        <v>35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>
        <v>11</v>
      </c>
      <c r="J7">
        <v>7331.01</v>
      </c>
      <c r="K7" s="1">
        <f t="shared" si="0"/>
        <v>7.33101</v>
      </c>
      <c r="L7">
        <v>21421.51</v>
      </c>
      <c r="M7" s="1">
        <f t="shared" si="1"/>
        <v>21.421509999999998</v>
      </c>
      <c r="N7" s="1">
        <f t="shared" si="2"/>
        <v>2.9220407556393999</v>
      </c>
      <c r="O7">
        <v>-14337.83</v>
      </c>
      <c r="P7">
        <v>0</v>
      </c>
      <c r="Q7">
        <v>9.765625E-4</v>
      </c>
      <c r="R7">
        <v>1.027960526315789E-3</v>
      </c>
      <c r="S7" t="b">
        <v>1</v>
      </c>
      <c r="T7">
        <v>0</v>
      </c>
      <c r="U7" t="s">
        <v>28</v>
      </c>
      <c r="V7" t="s">
        <v>24</v>
      </c>
    </row>
    <row r="8" spans="1:23" x14ac:dyDescent="0.2">
      <c r="A8" t="s">
        <v>38</v>
      </c>
      <c r="B8" t="s">
        <v>39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>
        <v>11</v>
      </c>
      <c r="J8">
        <v>5864.9699999999993</v>
      </c>
      <c r="K8" s="1">
        <f t="shared" si="0"/>
        <v>5.8649699999999996</v>
      </c>
      <c r="L8">
        <v>40288.089999999997</v>
      </c>
      <c r="M8" s="1">
        <f t="shared" si="1"/>
        <v>40.288089999999997</v>
      </c>
      <c r="N8" s="1">
        <f t="shared" si="2"/>
        <v>6.8692746936471965</v>
      </c>
      <c r="O8">
        <v>-34499.61</v>
      </c>
      <c r="P8">
        <v>0</v>
      </c>
      <c r="Q8">
        <v>9.765625E-4</v>
      </c>
      <c r="R8">
        <v>1.027960526315789E-3</v>
      </c>
      <c r="S8" t="b">
        <v>1</v>
      </c>
      <c r="T8">
        <v>0</v>
      </c>
      <c r="U8" t="s">
        <v>28</v>
      </c>
      <c r="V8" t="s">
        <v>24</v>
      </c>
    </row>
    <row r="9" spans="1:23" x14ac:dyDescent="0.2">
      <c r="A9" t="s">
        <v>38</v>
      </c>
      <c r="B9" t="s">
        <v>39</v>
      </c>
      <c r="C9" t="s">
        <v>34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>
        <v>11</v>
      </c>
      <c r="J9">
        <v>11889.75</v>
      </c>
      <c r="K9" s="1">
        <f t="shared" si="0"/>
        <v>11.889749999999999</v>
      </c>
      <c r="L9">
        <v>41895.550000000003</v>
      </c>
      <c r="M9" s="1">
        <f t="shared" si="1"/>
        <v>41.89555</v>
      </c>
      <c r="N9" s="1">
        <f t="shared" si="2"/>
        <v>3.5236695472991446</v>
      </c>
      <c r="O9">
        <v>-29707.23</v>
      </c>
      <c r="P9">
        <v>0</v>
      </c>
      <c r="Q9">
        <v>9.765625E-4</v>
      </c>
      <c r="R9">
        <v>1.027960526315789E-3</v>
      </c>
      <c r="S9" t="b">
        <v>1</v>
      </c>
      <c r="T9">
        <v>0</v>
      </c>
      <c r="U9" t="s">
        <v>28</v>
      </c>
      <c r="V9" t="s">
        <v>24</v>
      </c>
    </row>
    <row r="10" spans="1:23" x14ac:dyDescent="0.2">
      <c r="A10" t="s">
        <v>38</v>
      </c>
      <c r="B10" t="s">
        <v>39</v>
      </c>
      <c r="C10" t="s">
        <v>35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>
        <v>11</v>
      </c>
      <c r="J10">
        <v>18891.32</v>
      </c>
      <c r="K10" s="1">
        <f t="shared" si="0"/>
        <v>18.89132</v>
      </c>
      <c r="L10">
        <v>42370.22</v>
      </c>
      <c r="M10" s="1">
        <f t="shared" si="1"/>
        <v>42.370220000000003</v>
      </c>
      <c r="N10" s="1">
        <f t="shared" si="2"/>
        <v>2.2428406273357289</v>
      </c>
      <c r="O10">
        <v>-23507.260000000009</v>
      </c>
      <c r="P10">
        <v>0</v>
      </c>
      <c r="Q10">
        <v>9.765625E-4</v>
      </c>
      <c r="R10">
        <v>1.027960526315789E-3</v>
      </c>
      <c r="S10" t="b">
        <v>1</v>
      </c>
      <c r="T10">
        <v>0</v>
      </c>
      <c r="U10" t="s">
        <v>28</v>
      </c>
      <c r="V10" t="s">
        <v>24</v>
      </c>
    </row>
    <row r="11" spans="1:23" x14ac:dyDescent="0.2">
      <c r="A11" t="s">
        <v>40</v>
      </c>
      <c r="B11" t="s">
        <v>41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>
        <v>11</v>
      </c>
      <c r="J11">
        <v>21042.77</v>
      </c>
      <c r="K11" s="1">
        <f t="shared" si="0"/>
        <v>21.042770000000001</v>
      </c>
      <c r="L11">
        <v>664279.59000000008</v>
      </c>
      <c r="M11" s="1">
        <f t="shared" si="1"/>
        <v>664.2795900000001</v>
      </c>
      <c r="N11" s="2">
        <f t="shared" si="2"/>
        <v>31.568067797157887</v>
      </c>
      <c r="O11">
        <v>-643287.0199999999</v>
      </c>
      <c r="P11">
        <v>0</v>
      </c>
      <c r="Q11">
        <v>9.765625E-4</v>
      </c>
      <c r="R11">
        <v>1.027960526315789E-3</v>
      </c>
      <c r="S11" t="b">
        <v>1</v>
      </c>
      <c r="T11">
        <v>0</v>
      </c>
      <c r="U11" t="s">
        <v>28</v>
      </c>
      <c r="V11" t="s">
        <v>24</v>
      </c>
    </row>
    <row r="12" spans="1:23" x14ac:dyDescent="0.2">
      <c r="A12" t="s">
        <v>40</v>
      </c>
      <c r="B12" t="s">
        <v>41</v>
      </c>
      <c r="C12" t="s">
        <v>34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>
        <v>11</v>
      </c>
      <c r="J12">
        <v>27549.7</v>
      </c>
      <c r="K12" s="1">
        <f t="shared" si="0"/>
        <v>27.549700000000001</v>
      </c>
      <c r="L12">
        <v>662942.15999999992</v>
      </c>
      <c r="M12" s="1">
        <f t="shared" si="1"/>
        <v>662.94215999999994</v>
      </c>
      <c r="N12" s="2">
        <f t="shared" si="2"/>
        <v>24.063498332105247</v>
      </c>
      <c r="O12">
        <v>-635225.71000000008</v>
      </c>
      <c r="P12">
        <v>0</v>
      </c>
      <c r="Q12">
        <v>9.765625E-4</v>
      </c>
      <c r="R12">
        <v>1.027960526315789E-3</v>
      </c>
      <c r="S12" t="b">
        <v>1</v>
      </c>
      <c r="T12">
        <v>0</v>
      </c>
      <c r="U12" t="s">
        <v>28</v>
      </c>
      <c r="V12" t="s">
        <v>24</v>
      </c>
    </row>
    <row r="13" spans="1:23" x14ac:dyDescent="0.2">
      <c r="A13" t="s">
        <v>40</v>
      </c>
      <c r="B13" t="s">
        <v>41</v>
      </c>
      <c r="C13" t="s">
        <v>35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>
        <v>11</v>
      </c>
      <c r="J13">
        <v>26500.91</v>
      </c>
      <c r="K13" s="1">
        <f t="shared" si="0"/>
        <v>26.500910000000001</v>
      </c>
      <c r="L13">
        <v>667225.21000000008</v>
      </c>
      <c r="M13" s="1">
        <f t="shared" si="1"/>
        <v>667.22521000000006</v>
      </c>
      <c r="N13" s="2">
        <f t="shared" si="2"/>
        <v>25.177445227352571</v>
      </c>
      <c r="O13">
        <v>-640465.21000000008</v>
      </c>
      <c r="P13">
        <v>0</v>
      </c>
      <c r="Q13">
        <v>9.765625E-4</v>
      </c>
      <c r="R13">
        <v>1.027960526315789E-3</v>
      </c>
      <c r="S13" t="b">
        <v>1</v>
      </c>
      <c r="T13">
        <v>0</v>
      </c>
      <c r="U13" t="s">
        <v>28</v>
      </c>
      <c r="V13" t="s">
        <v>24</v>
      </c>
    </row>
    <row r="14" spans="1:23" x14ac:dyDescent="0.2">
      <c r="A14" t="s">
        <v>42</v>
      </c>
      <c r="B14" t="s">
        <v>43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>
        <v>11</v>
      </c>
      <c r="J14">
        <v>79265.75</v>
      </c>
      <c r="K14" s="1">
        <f t="shared" si="0"/>
        <v>79.265749999999997</v>
      </c>
      <c r="L14">
        <v>3303437.810000001</v>
      </c>
      <c r="M14" s="1">
        <f t="shared" si="1"/>
        <v>3303.4378100000008</v>
      </c>
      <c r="N14" s="2">
        <f t="shared" si="2"/>
        <v>41.67547534717076</v>
      </c>
      <c r="O14">
        <v>-3221337.5900000008</v>
      </c>
      <c r="P14">
        <v>0</v>
      </c>
      <c r="Q14">
        <v>9.765625E-4</v>
      </c>
      <c r="R14">
        <v>1.027960526315789E-3</v>
      </c>
      <c r="S14" t="b">
        <v>1</v>
      </c>
      <c r="T14">
        <v>0</v>
      </c>
      <c r="U14" t="s">
        <v>28</v>
      </c>
      <c r="V14" t="s">
        <v>24</v>
      </c>
    </row>
    <row r="15" spans="1:23" x14ac:dyDescent="0.2">
      <c r="A15" t="s">
        <v>42</v>
      </c>
      <c r="B15" t="s">
        <v>43</v>
      </c>
      <c r="C15" t="s">
        <v>34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>
        <v>11</v>
      </c>
      <c r="J15">
        <v>158457.29</v>
      </c>
      <c r="K15" s="1">
        <f t="shared" si="0"/>
        <v>158.45729</v>
      </c>
      <c r="L15">
        <v>3402384.64</v>
      </c>
      <c r="M15" s="1">
        <f t="shared" si="1"/>
        <v>3402.3846400000002</v>
      </c>
      <c r="N15" s="2">
        <f t="shared" si="2"/>
        <v>21.471935055812203</v>
      </c>
      <c r="O15">
        <v>-3245521.17</v>
      </c>
      <c r="P15">
        <v>0</v>
      </c>
      <c r="Q15">
        <v>9.765625E-4</v>
      </c>
      <c r="R15">
        <v>1.027960526315789E-3</v>
      </c>
      <c r="S15" t="b">
        <v>1</v>
      </c>
      <c r="T15">
        <v>0</v>
      </c>
      <c r="U15" t="s">
        <v>28</v>
      </c>
      <c r="V15" t="s">
        <v>24</v>
      </c>
    </row>
    <row r="16" spans="1:23" x14ac:dyDescent="0.2">
      <c r="A16" t="s">
        <v>42</v>
      </c>
      <c r="B16" t="s">
        <v>43</v>
      </c>
      <c r="C16" t="s">
        <v>35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>
        <v>11</v>
      </c>
      <c r="J16">
        <v>293335.76</v>
      </c>
      <c r="K16" s="1">
        <f t="shared" si="0"/>
        <v>293.33575999999999</v>
      </c>
      <c r="L16">
        <v>3542691.54</v>
      </c>
      <c r="M16" s="1">
        <f t="shared" si="1"/>
        <v>3542.6915400000003</v>
      </c>
      <c r="N16" s="1">
        <f t="shared" si="2"/>
        <v>12.077257610868857</v>
      </c>
      <c r="O16">
        <v>-3248262.85</v>
      </c>
      <c r="P16">
        <v>0</v>
      </c>
      <c r="Q16">
        <v>9.765625E-4</v>
      </c>
      <c r="R16">
        <v>1.027960526315789E-3</v>
      </c>
      <c r="S16" t="b">
        <v>1</v>
      </c>
      <c r="T16">
        <v>0</v>
      </c>
      <c r="U16" t="s">
        <v>28</v>
      </c>
      <c r="V16" t="s">
        <v>24</v>
      </c>
    </row>
    <row r="17" spans="1:22" x14ac:dyDescent="0.2">
      <c r="A17" t="s">
        <v>45</v>
      </c>
      <c r="B17" t="s">
        <v>46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>
        <v>11</v>
      </c>
      <c r="J17">
        <v>25529.73</v>
      </c>
      <c r="K17" s="1">
        <f t="shared" si="0"/>
        <v>25.529730000000001</v>
      </c>
      <c r="L17">
        <v>579951.01</v>
      </c>
      <c r="M17" s="1">
        <f t="shared" si="1"/>
        <v>579.95101</v>
      </c>
      <c r="N17" s="2">
        <f t="shared" si="2"/>
        <v>22.716691872573662</v>
      </c>
      <c r="O17">
        <v>-554333.49</v>
      </c>
      <c r="P17">
        <v>0</v>
      </c>
      <c r="Q17">
        <v>9.765625E-4</v>
      </c>
      <c r="R17">
        <v>1.027960526315789E-3</v>
      </c>
      <c r="S17" t="b">
        <v>1</v>
      </c>
      <c r="T17">
        <v>0</v>
      </c>
      <c r="U17" t="s">
        <v>28</v>
      </c>
      <c r="V17" t="s">
        <v>24</v>
      </c>
    </row>
    <row r="18" spans="1:22" x14ac:dyDescent="0.2">
      <c r="A18" t="s">
        <v>45</v>
      </c>
      <c r="B18" t="s">
        <v>46</v>
      </c>
      <c r="C18" t="s">
        <v>34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>
        <v>11</v>
      </c>
      <c r="J18">
        <v>39176.43</v>
      </c>
      <c r="K18" s="1">
        <f t="shared" si="0"/>
        <v>39.176430000000003</v>
      </c>
      <c r="L18">
        <v>599331.26</v>
      </c>
      <c r="M18" s="1">
        <f t="shared" si="1"/>
        <v>599.33126000000004</v>
      </c>
      <c r="N18" s="1">
        <f t="shared" si="2"/>
        <v>15.298261224925293</v>
      </c>
      <c r="O18">
        <v>-560956.67999999993</v>
      </c>
      <c r="P18">
        <v>0</v>
      </c>
      <c r="Q18">
        <v>9.765625E-4</v>
      </c>
      <c r="R18">
        <v>1.027960526315789E-3</v>
      </c>
      <c r="S18" t="b">
        <v>1</v>
      </c>
      <c r="T18">
        <v>0</v>
      </c>
      <c r="U18" t="s">
        <v>28</v>
      </c>
      <c r="V18" t="s">
        <v>24</v>
      </c>
    </row>
    <row r="19" spans="1:22" x14ac:dyDescent="0.2">
      <c r="A19" t="s">
        <v>45</v>
      </c>
      <c r="B19" t="s">
        <v>46</v>
      </c>
      <c r="C19" t="s">
        <v>35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>
        <v>11</v>
      </c>
      <c r="J19">
        <v>48946.539999999994</v>
      </c>
      <c r="K19" s="1">
        <f t="shared" si="0"/>
        <v>48.946539999999992</v>
      </c>
      <c r="L19">
        <v>614102.89999999991</v>
      </c>
      <c r="M19" s="1">
        <f t="shared" si="1"/>
        <v>614.10289999999986</v>
      </c>
      <c r="N19" s="1">
        <f t="shared" si="2"/>
        <v>12.546400624027765</v>
      </c>
      <c r="O19">
        <v>-565035.31999999995</v>
      </c>
      <c r="P19">
        <v>0</v>
      </c>
      <c r="Q19">
        <v>9.765625E-4</v>
      </c>
      <c r="R19">
        <v>1.027960526315789E-3</v>
      </c>
      <c r="S19" t="b">
        <v>1</v>
      </c>
      <c r="T19">
        <v>0</v>
      </c>
      <c r="U19" t="s">
        <v>28</v>
      </c>
      <c r="V19" t="s">
        <v>24</v>
      </c>
    </row>
    <row r="20" spans="1:22" x14ac:dyDescent="0.2">
      <c r="A20" t="s">
        <v>47</v>
      </c>
      <c r="B20" t="s">
        <v>48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>
        <v>11</v>
      </c>
      <c r="J20">
        <v>645486.98</v>
      </c>
      <c r="K20" s="1">
        <f t="shared" si="0"/>
        <v>645.48698000000002</v>
      </c>
      <c r="L20">
        <v>809451.26</v>
      </c>
      <c r="M20" s="1">
        <f t="shared" si="1"/>
        <v>809.45126000000005</v>
      </c>
      <c r="N20" s="1">
        <f t="shared" si="2"/>
        <v>1.2540164016941133</v>
      </c>
      <c r="O20">
        <v>-165312.92999999991</v>
      </c>
      <c r="P20">
        <v>0</v>
      </c>
      <c r="Q20">
        <v>9.765625E-4</v>
      </c>
      <c r="R20">
        <v>1.027960526315789E-3</v>
      </c>
      <c r="S20" t="b">
        <v>1</v>
      </c>
      <c r="T20">
        <v>0</v>
      </c>
      <c r="U20" t="s">
        <v>28</v>
      </c>
      <c r="V20" t="s">
        <v>24</v>
      </c>
    </row>
    <row r="21" spans="1:22" x14ac:dyDescent="0.2">
      <c r="A21" t="s">
        <v>47</v>
      </c>
      <c r="B21" t="s">
        <v>48</v>
      </c>
      <c r="C21" t="s">
        <v>34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>
        <v>11</v>
      </c>
      <c r="J21">
        <v>1235627.45</v>
      </c>
      <c r="K21" s="1">
        <f t="shared" si="0"/>
        <v>1235.62745</v>
      </c>
      <c r="L21">
        <v>861791.92999999993</v>
      </c>
      <c r="M21" s="1">
        <f t="shared" si="1"/>
        <v>861.79192999999998</v>
      </c>
      <c r="N21" s="3">
        <f t="shared" si="2"/>
        <v>0.69745288517182102</v>
      </c>
      <c r="O21">
        <v>374026.67</v>
      </c>
      <c r="P21">
        <v>11</v>
      </c>
      <c r="Q21">
        <v>5.37109375E-2</v>
      </c>
      <c r="R21">
        <v>5.37109375E-2</v>
      </c>
      <c r="S21" t="b">
        <v>0</v>
      </c>
      <c r="T21">
        <v>0.90909090909090906</v>
      </c>
      <c r="U21" t="s">
        <v>28</v>
      </c>
      <c r="V21" t="s">
        <v>26</v>
      </c>
    </row>
    <row r="22" spans="1:22" x14ac:dyDescent="0.2">
      <c r="A22" t="s">
        <v>47</v>
      </c>
      <c r="B22" t="s">
        <v>48</v>
      </c>
      <c r="C22" t="s">
        <v>35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>
        <v>11</v>
      </c>
      <c r="J22">
        <v>2059771.21</v>
      </c>
      <c r="K22" s="1">
        <f t="shared" si="0"/>
        <v>2059.7712099999999</v>
      </c>
      <c r="L22">
        <v>923838.34</v>
      </c>
      <c r="M22" s="1">
        <f t="shared" si="1"/>
        <v>923.83834000000002</v>
      </c>
      <c r="N22" s="3">
        <f t="shared" si="2"/>
        <v>0.44851502706458357</v>
      </c>
      <c r="O22">
        <v>1133416.69</v>
      </c>
      <c r="P22">
        <v>11</v>
      </c>
      <c r="Q22">
        <v>5.37109375E-2</v>
      </c>
      <c r="R22">
        <v>5.37109375E-2</v>
      </c>
      <c r="S22" t="b">
        <v>0</v>
      </c>
      <c r="T22">
        <v>0.90909090909090906</v>
      </c>
      <c r="U22" t="s">
        <v>28</v>
      </c>
      <c r="V22" t="s">
        <v>26</v>
      </c>
    </row>
    <row r="23" spans="1:22" x14ac:dyDescent="0.2">
      <c r="A23" t="s">
        <v>49</v>
      </c>
      <c r="B23" t="s">
        <v>50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>
        <v>11</v>
      </c>
      <c r="J23">
        <v>32564.04</v>
      </c>
      <c r="K23" s="1">
        <f t="shared" si="0"/>
        <v>32.564039999999999</v>
      </c>
      <c r="L23">
        <v>684224.61</v>
      </c>
      <c r="M23" s="1">
        <f t="shared" si="1"/>
        <v>684.22460999999998</v>
      </c>
      <c r="N23" s="2">
        <f t="shared" si="2"/>
        <v>21.011662250752671</v>
      </c>
      <c r="O23">
        <v>-651263.71</v>
      </c>
      <c r="P23">
        <v>0</v>
      </c>
      <c r="Q23">
        <v>9.765625E-4</v>
      </c>
      <c r="R23">
        <v>1.027960526315789E-3</v>
      </c>
      <c r="S23" t="b">
        <v>1</v>
      </c>
      <c r="T23">
        <v>0</v>
      </c>
      <c r="U23" t="s">
        <v>28</v>
      </c>
      <c r="V23" t="s">
        <v>24</v>
      </c>
    </row>
    <row r="24" spans="1:22" x14ac:dyDescent="0.2">
      <c r="A24" t="s">
        <v>49</v>
      </c>
      <c r="B24" t="s">
        <v>50</v>
      </c>
      <c r="C24" t="s">
        <v>34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>
        <v>11</v>
      </c>
      <c r="J24">
        <v>48995.76</v>
      </c>
      <c r="K24" s="1">
        <f t="shared" si="0"/>
        <v>48.995760000000004</v>
      </c>
      <c r="L24">
        <v>695590.73999999987</v>
      </c>
      <c r="M24" s="1">
        <f t="shared" si="1"/>
        <v>695.59073999999987</v>
      </c>
      <c r="N24" s="1">
        <f t="shared" si="2"/>
        <v>14.19695785921067</v>
      </c>
      <c r="O24">
        <v>-644234.0199999999</v>
      </c>
      <c r="P24">
        <v>0</v>
      </c>
      <c r="Q24">
        <v>9.765625E-4</v>
      </c>
      <c r="R24">
        <v>1.027960526315789E-3</v>
      </c>
      <c r="S24" t="b">
        <v>1</v>
      </c>
      <c r="T24">
        <v>0</v>
      </c>
      <c r="U24" t="s">
        <v>28</v>
      </c>
      <c r="V24" t="s">
        <v>24</v>
      </c>
    </row>
    <row r="25" spans="1:22" x14ac:dyDescent="0.2">
      <c r="A25" t="s">
        <v>49</v>
      </c>
      <c r="B25" t="s">
        <v>50</v>
      </c>
      <c r="C25" t="s">
        <v>35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>
        <v>11</v>
      </c>
      <c r="J25">
        <v>61192.83</v>
      </c>
      <c r="K25" s="1">
        <f t="shared" si="0"/>
        <v>61.192830000000001</v>
      </c>
      <c r="L25">
        <v>709146.3</v>
      </c>
      <c r="M25" s="1">
        <f t="shared" si="1"/>
        <v>709.1463</v>
      </c>
      <c r="N25" s="1">
        <f t="shared" si="2"/>
        <v>11.588715540693247</v>
      </c>
      <c r="O25">
        <v>-647745.76000000013</v>
      </c>
      <c r="P25">
        <v>0</v>
      </c>
      <c r="Q25">
        <v>9.765625E-4</v>
      </c>
      <c r="R25">
        <v>1.027960526315789E-3</v>
      </c>
      <c r="S25" t="b">
        <v>1</v>
      </c>
      <c r="T25">
        <v>0</v>
      </c>
      <c r="U25" t="s">
        <v>28</v>
      </c>
      <c r="V25" t="s">
        <v>24</v>
      </c>
    </row>
    <row r="26" spans="1:22" x14ac:dyDescent="0.2">
      <c r="A26" t="s">
        <v>20</v>
      </c>
      <c r="B26" t="s">
        <v>21</v>
      </c>
      <c r="C26" t="s">
        <v>51</v>
      </c>
      <c r="D26" t="s">
        <v>23</v>
      </c>
      <c r="E26" t="s">
        <v>24</v>
      </c>
      <c r="F26" t="s">
        <v>25</v>
      </c>
      <c r="G26" t="s">
        <v>52</v>
      </c>
      <c r="H26" t="s">
        <v>53</v>
      </c>
      <c r="I26">
        <v>11</v>
      </c>
      <c r="J26">
        <v>1389.56</v>
      </c>
      <c r="K26" s="1">
        <f t="shared" si="0"/>
        <v>1.3895599999999999</v>
      </c>
      <c r="L26">
        <v>648.77</v>
      </c>
      <c r="M26" s="1">
        <f t="shared" si="1"/>
        <v>0.64876999999999996</v>
      </c>
      <c r="N26" s="1">
        <f t="shared" si="2"/>
        <v>0.46688879933216271</v>
      </c>
      <c r="O26">
        <v>747.42999999999984</v>
      </c>
      <c r="P26">
        <v>0</v>
      </c>
      <c r="Q26">
        <v>9.765625E-4</v>
      </c>
      <c r="R26">
        <v>1.027960526315789E-3</v>
      </c>
      <c r="S26" t="b">
        <v>1</v>
      </c>
      <c r="T26">
        <v>1</v>
      </c>
      <c r="U26" t="s">
        <v>28</v>
      </c>
      <c r="V26" t="s">
        <v>52</v>
      </c>
    </row>
    <row r="27" spans="1:22" x14ac:dyDescent="0.2">
      <c r="A27" t="s">
        <v>36</v>
      </c>
      <c r="B27" t="s">
        <v>37</v>
      </c>
      <c r="C27" t="s">
        <v>51</v>
      </c>
      <c r="D27" t="s">
        <v>23</v>
      </c>
      <c r="E27" t="s">
        <v>24</v>
      </c>
      <c r="F27" t="s">
        <v>25</v>
      </c>
      <c r="G27" t="s">
        <v>52</v>
      </c>
      <c r="H27" t="s">
        <v>53</v>
      </c>
      <c r="I27">
        <v>11</v>
      </c>
      <c r="J27">
        <v>2773.92</v>
      </c>
      <c r="K27" s="1">
        <f t="shared" si="0"/>
        <v>2.7739199999999999</v>
      </c>
      <c r="L27">
        <v>1309.95</v>
      </c>
      <c r="M27" s="1">
        <f t="shared" si="1"/>
        <v>1.3099499999999999</v>
      </c>
      <c r="N27" s="1">
        <f t="shared" si="2"/>
        <v>0.47223784391763279</v>
      </c>
      <c r="O27">
        <v>1423.56</v>
      </c>
      <c r="P27">
        <v>0</v>
      </c>
      <c r="Q27">
        <v>9.765625E-4</v>
      </c>
      <c r="R27">
        <v>1.027960526315789E-3</v>
      </c>
      <c r="S27" t="b">
        <v>1</v>
      </c>
      <c r="T27">
        <v>1</v>
      </c>
      <c r="U27" t="s">
        <v>28</v>
      </c>
      <c r="V27" t="s">
        <v>52</v>
      </c>
    </row>
    <row r="28" spans="1:22" x14ac:dyDescent="0.2">
      <c r="A28" t="s">
        <v>38</v>
      </c>
      <c r="B28" t="s">
        <v>39</v>
      </c>
      <c r="C28" t="s">
        <v>51</v>
      </c>
      <c r="D28" t="s">
        <v>23</v>
      </c>
      <c r="E28" t="s">
        <v>24</v>
      </c>
      <c r="F28" t="s">
        <v>25</v>
      </c>
      <c r="G28" t="s">
        <v>52</v>
      </c>
      <c r="H28" t="s">
        <v>53</v>
      </c>
      <c r="I28">
        <v>11</v>
      </c>
      <c r="J28">
        <v>5864.9699999999993</v>
      </c>
      <c r="K28" s="1">
        <f t="shared" si="0"/>
        <v>5.8649699999999996</v>
      </c>
      <c r="L28">
        <v>2287.19</v>
      </c>
      <c r="M28" s="1">
        <f t="shared" si="1"/>
        <v>2.2871899999999998</v>
      </c>
      <c r="N28" s="1">
        <f t="shared" si="2"/>
        <v>0.38997471427816338</v>
      </c>
      <c r="O28">
        <v>3571.829999999999</v>
      </c>
      <c r="P28">
        <v>0</v>
      </c>
      <c r="Q28">
        <v>9.765625E-4</v>
      </c>
      <c r="R28">
        <v>1.027960526315789E-3</v>
      </c>
      <c r="S28" t="b">
        <v>1</v>
      </c>
      <c r="T28">
        <v>1</v>
      </c>
      <c r="U28" t="s">
        <v>28</v>
      </c>
      <c r="V28" t="s">
        <v>52</v>
      </c>
    </row>
    <row r="29" spans="1:22" x14ac:dyDescent="0.2">
      <c r="A29" t="s">
        <v>40</v>
      </c>
      <c r="B29" t="s">
        <v>41</v>
      </c>
      <c r="C29" t="s">
        <v>51</v>
      </c>
      <c r="D29" t="s">
        <v>23</v>
      </c>
      <c r="E29" t="s">
        <v>24</v>
      </c>
      <c r="F29" t="s">
        <v>25</v>
      </c>
      <c r="G29" t="s">
        <v>52</v>
      </c>
      <c r="H29" t="s">
        <v>53</v>
      </c>
      <c r="I29">
        <v>11</v>
      </c>
      <c r="J29">
        <v>21042.77</v>
      </c>
      <c r="K29" s="1">
        <f t="shared" si="0"/>
        <v>21.042770000000001</v>
      </c>
      <c r="L29">
        <v>12945.34</v>
      </c>
      <c r="M29" s="1">
        <f t="shared" si="1"/>
        <v>12.94534</v>
      </c>
      <c r="N29" s="1">
        <f t="shared" si="2"/>
        <v>0.61519182122885907</v>
      </c>
      <c r="O29">
        <v>8261.3900000000012</v>
      </c>
      <c r="P29">
        <v>0</v>
      </c>
      <c r="Q29">
        <v>9.765625E-4</v>
      </c>
      <c r="R29">
        <v>1.027960526315789E-3</v>
      </c>
      <c r="S29" t="b">
        <v>1</v>
      </c>
      <c r="T29">
        <v>1</v>
      </c>
      <c r="U29" t="s">
        <v>28</v>
      </c>
      <c r="V29" t="s">
        <v>52</v>
      </c>
    </row>
    <row r="30" spans="1:22" x14ac:dyDescent="0.2">
      <c r="A30" t="s">
        <v>42</v>
      </c>
      <c r="B30" t="s">
        <v>43</v>
      </c>
      <c r="C30" t="s">
        <v>51</v>
      </c>
      <c r="D30" t="s">
        <v>23</v>
      </c>
      <c r="E30" t="s">
        <v>24</v>
      </c>
      <c r="F30" t="s">
        <v>25</v>
      </c>
      <c r="G30" t="s">
        <v>52</v>
      </c>
      <c r="H30" t="s">
        <v>53</v>
      </c>
      <c r="I30">
        <v>11</v>
      </c>
      <c r="J30">
        <v>79265.75</v>
      </c>
      <c r="K30" s="1">
        <f t="shared" si="0"/>
        <v>79.265749999999997</v>
      </c>
      <c r="L30">
        <v>98011.090000000011</v>
      </c>
      <c r="M30" s="1">
        <f t="shared" si="1"/>
        <v>98.01109000000001</v>
      </c>
      <c r="N30" s="1">
        <f t="shared" si="2"/>
        <v>1.2364872596297898</v>
      </c>
      <c r="O30">
        <v>-18584.689999999999</v>
      </c>
      <c r="P30">
        <v>0</v>
      </c>
      <c r="Q30">
        <v>9.765625E-4</v>
      </c>
      <c r="R30">
        <v>1.027960526315789E-3</v>
      </c>
      <c r="S30" t="b">
        <v>1</v>
      </c>
      <c r="T30">
        <v>0</v>
      </c>
      <c r="U30" t="s">
        <v>28</v>
      </c>
      <c r="V30" t="s">
        <v>24</v>
      </c>
    </row>
    <row r="31" spans="1:22" x14ac:dyDescent="0.2">
      <c r="A31" t="s">
        <v>45</v>
      </c>
      <c r="B31" t="s">
        <v>46</v>
      </c>
      <c r="C31" t="s">
        <v>51</v>
      </c>
      <c r="D31" t="s">
        <v>23</v>
      </c>
      <c r="E31" t="s">
        <v>24</v>
      </c>
      <c r="F31" t="s">
        <v>25</v>
      </c>
      <c r="G31" t="s">
        <v>52</v>
      </c>
      <c r="H31" t="s">
        <v>53</v>
      </c>
      <c r="I31">
        <v>11</v>
      </c>
      <c r="J31">
        <v>25529.73</v>
      </c>
      <c r="K31" s="1">
        <f t="shared" si="0"/>
        <v>25.529730000000001</v>
      </c>
      <c r="L31">
        <v>32727.1</v>
      </c>
      <c r="M31" s="1">
        <f t="shared" si="1"/>
        <v>32.7271</v>
      </c>
      <c r="N31" s="1">
        <f t="shared" si="2"/>
        <v>1.2819211170662597</v>
      </c>
      <c r="O31">
        <v>-6889.0799999999981</v>
      </c>
      <c r="P31">
        <v>0</v>
      </c>
      <c r="Q31">
        <v>9.765625E-4</v>
      </c>
      <c r="R31">
        <v>1.027960526315789E-3</v>
      </c>
      <c r="S31" t="b">
        <v>1</v>
      </c>
      <c r="T31">
        <v>0</v>
      </c>
      <c r="U31" t="s">
        <v>28</v>
      </c>
      <c r="V31" t="s">
        <v>24</v>
      </c>
    </row>
    <row r="32" spans="1:22" x14ac:dyDescent="0.2">
      <c r="A32" t="s">
        <v>47</v>
      </c>
      <c r="B32" t="s">
        <v>48</v>
      </c>
      <c r="C32" t="s">
        <v>51</v>
      </c>
      <c r="D32" t="s">
        <v>23</v>
      </c>
      <c r="E32" t="s">
        <v>24</v>
      </c>
      <c r="F32" t="s">
        <v>25</v>
      </c>
      <c r="G32" t="s">
        <v>52</v>
      </c>
      <c r="H32" t="s">
        <v>53</v>
      </c>
      <c r="I32">
        <v>11</v>
      </c>
      <c r="J32">
        <v>645486.98</v>
      </c>
      <c r="K32" s="1">
        <f t="shared" si="0"/>
        <v>645.48698000000002</v>
      </c>
      <c r="L32">
        <v>730312.1100000001</v>
      </c>
      <c r="M32" s="1">
        <f t="shared" si="1"/>
        <v>730.31211000000008</v>
      </c>
      <c r="N32" s="1">
        <f t="shared" si="2"/>
        <v>1.131412611916665</v>
      </c>
      <c r="O32">
        <v>-92168.589999999851</v>
      </c>
      <c r="P32">
        <v>0</v>
      </c>
      <c r="Q32">
        <v>9.765625E-4</v>
      </c>
      <c r="R32">
        <v>1.027960526315789E-3</v>
      </c>
      <c r="S32" t="b">
        <v>1</v>
      </c>
      <c r="T32">
        <v>0</v>
      </c>
      <c r="U32" t="s">
        <v>28</v>
      </c>
      <c r="V32" t="s">
        <v>24</v>
      </c>
    </row>
    <row r="33" spans="1:22" x14ac:dyDescent="0.2">
      <c r="A33" t="s">
        <v>49</v>
      </c>
      <c r="B33" t="s">
        <v>50</v>
      </c>
      <c r="C33" t="s">
        <v>51</v>
      </c>
      <c r="D33" t="s">
        <v>23</v>
      </c>
      <c r="E33" t="s">
        <v>24</v>
      </c>
      <c r="F33" t="s">
        <v>25</v>
      </c>
      <c r="G33" t="s">
        <v>52</v>
      </c>
      <c r="H33" t="s">
        <v>53</v>
      </c>
      <c r="I33">
        <v>11</v>
      </c>
      <c r="J33">
        <v>32564.04</v>
      </c>
      <c r="K33" s="1">
        <f t="shared" si="0"/>
        <v>32.564039999999999</v>
      </c>
      <c r="L33">
        <v>383391.07</v>
      </c>
      <c r="M33" s="1">
        <f t="shared" si="1"/>
        <v>383.39107000000001</v>
      </c>
      <c r="N33" s="1">
        <f t="shared" si="2"/>
        <v>11.773449178910234</v>
      </c>
      <c r="O33">
        <v>-350605.83</v>
      </c>
      <c r="P33">
        <v>0</v>
      </c>
      <c r="Q33">
        <v>9.765625E-4</v>
      </c>
      <c r="R33">
        <v>1.027960526315789E-3</v>
      </c>
      <c r="S33" t="b">
        <v>1</v>
      </c>
      <c r="T33">
        <v>0</v>
      </c>
      <c r="U33" t="s">
        <v>28</v>
      </c>
      <c r="V33" t="s">
        <v>24</v>
      </c>
    </row>
    <row r="34" spans="1:22" x14ac:dyDescent="0.2">
      <c r="A34" t="s">
        <v>20</v>
      </c>
      <c r="B34" t="s">
        <v>21</v>
      </c>
      <c r="C34" t="s">
        <v>51</v>
      </c>
      <c r="D34" t="s">
        <v>23</v>
      </c>
      <c r="E34" t="s">
        <v>26</v>
      </c>
      <c r="F34" t="s">
        <v>27</v>
      </c>
      <c r="G34" t="s">
        <v>52</v>
      </c>
      <c r="H34" t="s">
        <v>53</v>
      </c>
      <c r="I34">
        <v>11</v>
      </c>
      <c r="J34">
        <v>11998.43</v>
      </c>
      <c r="K34" s="1">
        <f t="shared" si="0"/>
        <v>11.998430000000001</v>
      </c>
      <c r="L34">
        <v>648.77</v>
      </c>
      <c r="M34" s="1">
        <f t="shared" si="1"/>
        <v>0.64876999999999996</v>
      </c>
      <c r="N34" s="1">
        <f t="shared" si="2"/>
        <v>5.4071240987362504E-2</v>
      </c>
      <c r="O34">
        <v>11336.96</v>
      </c>
      <c r="P34">
        <v>0</v>
      </c>
      <c r="Q34">
        <v>9.765625E-4</v>
      </c>
      <c r="R34">
        <v>1.027960526315789E-3</v>
      </c>
      <c r="S34" t="b">
        <v>1</v>
      </c>
      <c r="T34">
        <v>1</v>
      </c>
      <c r="U34" t="s">
        <v>28</v>
      </c>
      <c r="V34" t="s">
        <v>52</v>
      </c>
    </row>
    <row r="35" spans="1:22" x14ac:dyDescent="0.2">
      <c r="A35" t="s">
        <v>36</v>
      </c>
      <c r="B35" t="s">
        <v>37</v>
      </c>
      <c r="C35" t="s">
        <v>51</v>
      </c>
      <c r="D35" t="s">
        <v>23</v>
      </c>
      <c r="E35" t="s">
        <v>26</v>
      </c>
      <c r="F35" t="s">
        <v>27</v>
      </c>
      <c r="G35" t="s">
        <v>52</v>
      </c>
      <c r="H35" t="s">
        <v>53</v>
      </c>
      <c r="I35">
        <v>11</v>
      </c>
      <c r="J35">
        <v>21542.639999999999</v>
      </c>
      <c r="K35" s="1">
        <f t="shared" si="0"/>
        <v>21.542639999999999</v>
      </c>
      <c r="L35">
        <v>1309.95</v>
      </c>
      <c r="M35" s="1">
        <f t="shared" si="1"/>
        <v>1.3099499999999999</v>
      </c>
      <c r="N35" s="1">
        <f t="shared" si="2"/>
        <v>6.0807310524615368E-2</v>
      </c>
      <c r="O35">
        <v>19875.240000000002</v>
      </c>
      <c r="P35">
        <v>0</v>
      </c>
      <c r="Q35">
        <v>9.765625E-4</v>
      </c>
      <c r="R35">
        <v>1.027960526315789E-3</v>
      </c>
      <c r="S35" t="b">
        <v>1</v>
      </c>
      <c r="T35">
        <v>1</v>
      </c>
      <c r="U35" t="s">
        <v>28</v>
      </c>
      <c r="V35" t="s">
        <v>52</v>
      </c>
    </row>
    <row r="36" spans="1:22" x14ac:dyDescent="0.2">
      <c r="A36" t="s">
        <v>38</v>
      </c>
      <c r="B36" t="s">
        <v>39</v>
      </c>
      <c r="C36" t="s">
        <v>51</v>
      </c>
      <c r="D36" t="s">
        <v>23</v>
      </c>
      <c r="E36" t="s">
        <v>26</v>
      </c>
      <c r="F36" t="s">
        <v>27</v>
      </c>
      <c r="G36" t="s">
        <v>52</v>
      </c>
      <c r="H36" t="s">
        <v>53</v>
      </c>
      <c r="I36">
        <v>11</v>
      </c>
      <c r="J36">
        <v>40288.089999999997</v>
      </c>
      <c r="K36" s="1">
        <f t="shared" si="0"/>
        <v>40.288089999999997</v>
      </c>
      <c r="L36">
        <v>2287.19</v>
      </c>
      <c r="M36" s="1">
        <f t="shared" si="1"/>
        <v>2.2871899999999998</v>
      </c>
      <c r="N36" s="1">
        <f t="shared" si="2"/>
        <v>5.6770871987229972E-2</v>
      </c>
      <c r="O36">
        <v>37649.18</v>
      </c>
      <c r="P36">
        <v>0</v>
      </c>
      <c r="Q36">
        <v>9.765625E-4</v>
      </c>
      <c r="R36">
        <v>1.027960526315789E-3</v>
      </c>
      <c r="S36" t="b">
        <v>1</v>
      </c>
      <c r="T36">
        <v>1</v>
      </c>
      <c r="U36" t="s">
        <v>28</v>
      </c>
      <c r="V36" t="s">
        <v>52</v>
      </c>
    </row>
    <row r="37" spans="1:22" x14ac:dyDescent="0.2">
      <c r="A37" t="s">
        <v>40</v>
      </c>
      <c r="B37" t="s">
        <v>41</v>
      </c>
      <c r="C37" t="s">
        <v>51</v>
      </c>
      <c r="D37" t="s">
        <v>23</v>
      </c>
      <c r="E37" t="s">
        <v>26</v>
      </c>
      <c r="F37" t="s">
        <v>27</v>
      </c>
      <c r="G37" t="s">
        <v>52</v>
      </c>
      <c r="H37" t="s">
        <v>53</v>
      </c>
      <c r="I37">
        <v>11</v>
      </c>
      <c r="J37">
        <v>664279.59000000008</v>
      </c>
      <c r="K37" s="1">
        <f t="shared" si="0"/>
        <v>664.2795900000001</v>
      </c>
      <c r="L37">
        <v>12945.34</v>
      </c>
      <c r="M37" s="1">
        <f t="shared" si="1"/>
        <v>12.94534</v>
      </c>
      <c r="N37" s="1">
        <f t="shared" si="2"/>
        <v>1.9487788266985589E-2</v>
      </c>
      <c r="O37">
        <v>651529.05000000005</v>
      </c>
      <c r="P37">
        <v>0</v>
      </c>
      <c r="Q37">
        <v>9.765625E-4</v>
      </c>
      <c r="R37">
        <v>1.027960526315789E-3</v>
      </c>
      <c r="S37" t="b">
        <v>1</v>
      </c>
      <c r="T37">
        <v>1</v>
      </c>
      <c r="U37" t="s">
        <v>28</v>
      </c>
      <c r="V37" t="s">
        <v>52</v>
      </c>
    </row>
    <row r="38" spans="1:22" x14ac:dyDescent="0.2">
      <c r="A38" t="s">
        <v>42</v>
      </c>
      <c r="B38" t="s">
        <v>43</v>
      </c>
      <c r="C38" t="s">
        <v>51</v>
      </c>
      <c r="D38" t="s">
        <v>23</v>
      </c>
      <c r="E38" t="s">
        <v>26</v>
      </c>
      <c r="F38" t="s">
        <v>27</v>
      </c>
      <c r="G38" t="s">
        <v>52</v>
      </c>
      <c r="H38" t="s">
        <v>53</v>
      </c>
      <c r="I38">
        <v>11</v>
      </c>
      <c r="J38">
        <v>3303437.810000001</v>
      </c>
      <c r="K38" s="1">
        <f t="shared" si="0"/>
        <v>3303.4378100000008</v>
      </c>
      <c r="L38">
        <v>98011.090000000011</v>
      </c>
      <c r="M38" s="1">
        <f t="shared" si="1"/>
        <v>98.01109000000001</v>
      </c>
      <c r="N38" s="1">
        <f t="shared" si="2"/>
        <v>2.9669421868123495E-2</v>
      </c>
      <c r="O38">
        <v>3202752.9000000008</v>
      </c>
      <c r="P38">
        <v>0</v>
      </c>
      <c r="Q38">
        <v>9.765625E-4</v>
      </c>
      <c r="R38">
        <v>1.027960526315789E-3</v>
      </c>
      <c r="S38" t="b">
        <v>1</v>
      </c>
      <c r="T38">
        <v>1</v>
      </c>
      <c r="U38" t="s">
        <v>28</v>
      </c>
      <c r="V38" t="s">
        <v>52</v>
      </c>
    </row>
    <row r="39" spans="1:22" x14ac:dyDescent="0.2">
      <c r="A39" t="s">
        <v>45</v>
      </c>
      <c r="B39" t="s">
        <v>46</v>
      </c>
      <c r="C39" t="s">
        <v>51</v>
      </c>
      <c r="D39" t="s">
        <v>23</v>
      </c>
      <c r="E39" t="s">
        <v>26</v>
      </c>
      <c r="F39" t="s">
        <v>27</v>
      </c>
      <c r="G39" t="s">
        <v>52</v>
      </c>
      <c r="H39" t="s">
        <v>53</v>
      </c>
      <c r="I39">
        <v>11</v>
      </c>
      <c r="J39">
        <v>579951.01</v>
      </c>
      <c r="K39" s="1">
        <f t="shared" si="0"/>
        <v>579.95101</v>
      </c>
      <c r="L39">
        <v>32727.1</v>
      </c>
      <c r="M39" s="1">
        <f t="shared" si="1"/>
        <v>32.7271</v>
      </c>
      <c r="N39" s="1">
        <f t="shared" si="2"/>
        <v>5.6430800939548324E-2</v>
      </c>
      <c r="O39">
        <v>547567.35999999999</v>
      </c>
      <c r="P39">
        <v>0</v>
      </c>
      <c r="Q39">
        <v>9.765625E-4</v>
      </c>
      <c r="R39">
        <v>1.027960526315789E-3</v>
      </c>
      <c r="S39" t="b">
        <v>1</v>
      </c>
      <c r="T39">
        <v>1</v>
      </c>
      <c r="U39" t="s">
        <v>28</v>
      </c>
      <c r="V39" t="s">
        <v>52</v>
      </c>
    </row>
    <row r="40" spans="1:22" x14ac:dyDescent="0.2">
      <c r="A40" t="s">
        <v>47</v>
      </c>
      <c r="B40" t="s">
        <v>48</v>
      </c>
      <c r="C40" t="s">
        <v>51</v>
      </c>
      <c r="D40" t="s">
        <v>23</v>
      </c>
      <c r="E40" t="s">
        <v>26</v>
      </c>
      <c r="F40" t="s">
        <v>27</v>
      </c>
      <c r="G40" t="s">
        <v>52</v>
      </c>
      <c r="H40" t="s">
        <v>53</v>
      </c>
      <c r="I40">
        <v>11</v>
      </c>
      <c r="J40">
        <v>809451.26</v>
      </c>
      <c r="K40" s="1">
        <f t="shared" si="0"/>
        <v>809.45126000000005</v>
      </c>
      <c r="L40">
        <v>730312.1100000001</v>
      </c>
      <c r="M40" s="1">
        <f t="shared" si="1"/>
        <v>730.31211000000008</v>
      </c>
      <c r="N40" s="1">
        <f t="shared" si="2"/>
        <v>0.90223111148162283</v>
      </c>
      <c r="O40">
        <v>76559.030000000028</v>
      </c>
      <c r="P40">
        <v>0</v>
      </c>
      <c r="Q40">
        <v>9.765625E-4</v>
      </c>
      <c r="R40">
        <v>1.027960526315789E-3</v>
      </c>
      <c r="S40" t="b">
        <v>1</v>
      </c>
      <c r="T40">
        <v>1</v>
      </c>
      <c r="U40" t="s">
        <v>28</v>
      </c>
      <c r="V40" t="s">
        <v>52</v>
      </c>
    </row>
    <row r="41" spans="1:22" x14ac:dyDescent="0.2">
      <c r="A41" t="s">
        <v>49</v>
      </c>
      <c r="B41" t="s">
        <v>50</v>
      </c>
      <c r="C41" t="s">
        <v>51</v>
      </c>
      <c r="D41" t="s">
        <v>23</v>
      </c>
      <c r="E41" t="s">
        <v>26</v>
      </c>
      <c r="F41" t="s">
        <v>27</v>
      </c>
      <c r="G41" t="s">
        <v>52</v>
      </c>
      <c r="H41" t="s">
        <v>53</v>
      </c>
      <c r="I41">
        <v>11</v>
      </c>
      <c r="J41">
        <v>684224.61</v>
      </c>
      <c r="K41" s="1">
        <f t="shared" si="0"/>
        <v>684.22460999999998</v>
      </c>
      <c r="L41">
        <v>383391.07</v>
      </c>
      <c r="M41" s="1">
        <f t="shared" si="1"/>
        <v>383.39107000000001</v>
      </c>
      <c r="N41" s="1">
        <f t="shared" si="2"/>
        <v>0.56032926088408308</v>
      </c>
      <c r="O41">
        <v>299557.40000000002</v>
      </c>
      <c r="P41">
        <v>0</v>
      </c>
      <c r="Q41">
        <v>9.765625E-4</v>
      </c>
      <c r="R41">
        <v>1.027960526315789E-3</v>
      </c>
      <c r="S41" t="b">
        <v>1</v>
      </c>
      <c r="T41">
        <v>1</v>
      </c>
      <c r="U41" t="s">
        <v>28</v>
      </c>
      <c r="V41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29</v>
      </c>
      <c r="E2" t="s">
        <v>24</v>
      </c>
      <c r="F2" t="s">
        <v>25</v>
      </c>
      <c r="G2" t="s">
        <v>26</v>
      </c>
      <c r="H2" t="s">
        <v>27</v>
      </c>
      <c r="I2">
        <v>11</v>
      </c>
      <c r="J2">
        <v>9</v>
      </c>
      <c r="K2">
        <v>8</v>
      </c>
      <c r="L2">
        <v>1</v>
      </c>
      <c r="M2">
        <v>0</v>
      </c>
      <c r="N2">
        <v>9.765625E-4</v>
      </c>
      <c r="O2">
        <v>1.0557432432432431E-3</v>
      </c>
      <c r="P2" t="b">
        <v>1</v>
      </c>
      <c r="Q2">
        <v>1</v>
      </c>
      <c r="R2" t="s">
        <v>28</v>
      </c>
      <c r="S2" t="s">
        <v>26</v>
      </c>
    </row>
    <row r="3" spans="1:20" x14ac:dyDescent="0.2">
      <c r="A3" t="s">
        <v>20</v>
      </c>
      <c r="B3" t="s">
        <v>21</v>
      </c>
      <c r="C3" t="s">
        <v>34</v>
      </c>
      <c r="D3" t="s">
        <v>29</v>
      </c>
      <c r="E3" t="s">
        <v>24</v>
      </c>
      <c r="F3" t="s">
        <v>25</v>
      </c>
      <c r="G3" t="s">
        <v>26</v>
      </c>
      <c r="H3" t="s">
        <v>27</v>
      </c>
      <c r="I3">
        <v>11</v>
      </c>
      <c r="J3">
        <v>9</v>
      </c>
      <c r="K3">
        <v>8</v>
      </c>
      <c r="L3">
        <v>1</v>
      </c>
      <c r="M3">
        <v>0</v>
      </c>
      <c r="N3">
        <v>9.765625E-4</v>
      </c>
      <c r="O3">
        <v>1.0557432432432431E-3</v>
      </c>
      <c r="P3" t="b">
        <v>1</v>
      </c>
      <c r="Q3">
        <v>1</v>
      </c>
      <c r="R3" t="s">
        <v>28</v>
      </c>
      <c r="S3" t="s">
        <v>26</v>
      </c>
    </row>
    <row r="4" spans="1:20" x14ac:dyDescent="0.2">
      <c r="A4" t="s">
        <v>20</v>
      </c>
      <c r="B4" t="s">
        <v>21</v>
      </c>
      <c r="C4" t="s">
        <v>35</v>
      </c>
      <c r="D4" t="s">
        <v>29</v>
      </c>
      <c r="E4" t="s">
        <v>24</v>
      </c>
      <c r="F4" t="s">
        <v>25</v>
      </c>
      <c r="G4" t="s">
        <v>26</v>
      </c>
      <c r="H4" t="s">
        <v>27</v>
      </c>
      <c r="I4">
        <v>11</v>
      </c>
      <c r="J4">
        <v>9</v>
      </c>
      <c r="K4">
        <v>8</v>
      </c>
      <c r="L4">
        <v>1</v>
      </c>
      <c r="M4">
        <v>0</v>
      </c>
      <c r="N4">
        <v>9.765625E-4</v>
      </c>
      <c r="O4">
        <v>1.0557432432432431E-3</v>
      </c>
      <c r="P4" t="b">
        <v>1</v>
      </c>
      <c r="Q4">
        <v>1</v>
      </c>
      <c r="R4" t="s">
        <v>28</v>
      </c>
      <c r="S4" t="s">
        <v>26</v>
      </c>
    </row>
    <row r="5" spans="1:20" x14ac:dyDescent="0.2">
      <c r="A5" t="s">
        <v>36</v>
      </c>
      <c r="B5" t="s">
        <v>37</v>
      </c>
      <c r="C5" t="s">
        <v>22</v>
      </c>
      <c r="D5" t="s">
        <v>29</v>
      </c>
      <c r="E5" t="s">
        <v>24</v>
      </c>
      <c r="F5" t="s">
        <v>25</v>
      </c>
      <c r="G5" t="s">
        <v>26</v>
      </c>
      <c r="H5" t="s">
        <v>27</v>
      </c>
      <c r="I5">
        <v>11</v>
      </c>
      <c r="J5">
        <v>10</v>
      </c>
      <c r="K5">
        <v>8</v>
      </c>
      <c r="L5">
        <v>2</v>
      </c>
      <c r="M5">
        <v>0</v>
      </c>
      <c r="N5">
        <v>9.765625E-4</v>
      </c>
      <c r="O5">
        <v>1.0557432432432431E-3</v>
      </c>
      <c r="P5" t="b">
        <v>1</v>
      </c>
      <c r="Q5">
        <v>1</v>
      </c>
      <c r="R5" t="s">
        <v>28</v>
      </c>
      <c r="S5" t="s">
        <v>26</v>
      </c>
    </row>
    <row r="6" spans="1:20" x14ac:dyDescent="0.2">
      <c r="A6" t="s">
        <v>36</v>
      </c>
      <c r="B6" t="s">
        <v>37</v>
      </c>
      <c r="C6" t="s">
        <v>34</v>
      </c>
      <c r="D6" t="s">
        <v>29</v>
      </c>
      <c r="E6" t="s">
        <v>24</v>
      </c>
      <c r="F6" t="s">
        <v>25</v>
      </c>
      <c r="G6" t="s">
        <v>26</v>
      </c>
      <c r="H6" t="s">
        <v>27</v>
      </c>
      <c r="I6">
        <v>11</v>
      </c>
      <c r="J6">
        <v>11</v>
      </c>
      <c r="K6">
        <v>8</v>
      </c>
      <c r="L6">
        <v>3</v>
      </c>
      <c r="M6">
        <v>0</v>
      </c>
      <c r="N6">
        <v>9.765625E-4</v>
      </c>
      <c r="O6">
        <v>1.0557432432432431E-3</v>
      </c>
      <c r="P6" t="b">
        <v>1</v>
      </c>
      <c r="Q6">
        <v>1</v>
      </c>
      <c r="R6" t="s">
        <v>28</v>
      </c>
      <c r="S6" t="s">
        <v>26</v>
      </c>
    </row>
    <row r="7" spans="1:20" x14ac:dyDescent="0.2">
      <c r="A7" t="s">
        <v>36</v>
      </c>
      <c r="B7" t="s">
        <v>37</v>
      </c>
      <c r="C7" t="s">
        <v>35</v>
      </c>
      <c r="D7" t="s">
        <v>29</v>
      </c>
      <c r="E7" t="s">
        <v>24</v>
      </c>
      <c r="F7" t="s">
        <v>25</v>
      </c>
      <c r="G7" t="s">
        <v>26</v>
      </c>
      <c r="H7" t="s">
        <v>27</v>
      </c>
      <c r="I7">
        <v>11</v>
      </c>
      <c r="J7">
        <v>15</v>
      </c>
      <c r="K7">
        <v>9</v>
      </c>
      <c r="L7">
        <v>6</v>
      </c>
      <c r="M7">
        <v>0</v>
      </c>
      <c r="N7">
        <v>9.765625E-4</v>
      </c>
      <c r="O7">
        <v>1.0557432432432431E-3</v>
      </c>
      <c r="P7" t="b">
        <v>1</v>
      </c>
      <c r="Q7">
        <v>1</v>
      </c>
      <c r="R7" t="s">
        <v>28</v>
      </c>
      <c r="S7" t="s">
        <v>26</v>
      </c>
    </row>
    <row r="8" spans="1:20" x14ac:dyDescent="0.2">
      <c r="A8" t="s">
        <v>38</v>
      </c>
      <c r="B8" t="s">
        <v>39</v>
      </c>
      <c r="C8" t="s">
        <v>22</v>
      </c>
      <c r="D8" t="s">
        <v>29</v>
      </c>
      <c r="E8" t="s">
        <v>24</v>
      </c>
      <c r="F8" t="s">
        <v>25</v>
      </c>
      <c r="G8" t="s">
        <v>26</v>
      </c>
      <c r="H8" t="s">
        <v>27</v>
      </c>
      <c r="I8">
        <v>11</v>
      </c>
      <c r="J8">
        <v>11</v>
      </c>
      <c r="K8">
        <v>9</v>
      </c>
      <c r="L8">
        <v>2</v>
      </c>
      <c r="M8">
        <v>0</v>
      </c>
      <c r="N8">
        <v>9.765625E-4</v>
      </c>
      <c r="O8">
        <v>1.0557432432432431E-3</v>
      </c>
      <c r="P8" t="b">
        <v>1</v>
      </c>
      <c r="Q8">
        <v>1</v>
      </c>
      <c r="R8" t="s">
        <v>28</v>
      </c>
      <c r="S8" t="s">
        <v>26</v>
      </c>
    </row>
    <row r="9" spans="1:20" x14ac:dyDescent="0.2">
      <c r="A9" t="s">
        <v>38</v>
      </c>
      <c r="B9" t="s">
        <v>39</v>
      </c>
      <c r="C9" t="s">
        <v>34</v>
      </c>
      <c r="D9" t="s">
        <v>29</v>
      </c>
      <c r="E9" t="s">
        <v>24</v>
      </c>
      <c r="F9" t="s">
        <v>25</v>
      </c>
      <c r="G9" t="s">
        <v>26</v>
      </c>
      <c r="H9" t="s">
        <v>27</v>
      </c>
      <c r="I9">
        <v>11</v>
      </c>
      <c r="J9">
        <v>16</v>
      </c>
      <c r="K9">
        <v>11</v>
      </c>
      <c r="L9">
        <v>5</v>
      </c>
      <c r="M9">
        <v>0</v>
      </c>
      <c r="N9">
        <v>9.765625E-4</v>
      </c>
      <c r="O9">
        <v>1.0557432432432431E-3</v>
      </c>
      <c r="P9" t="b">
        <v>1</v>
      </c>
      <c r="Q9">
        <v>1</v>
      </c>
      <c r="R9" t="s">
        <v>28</v>
      </c>
      <c r="S9" t="s">
        <v>26</v>
      </c>
    </row>
    <row r="10" spans="1:20" x14ac:dyDescent="0.2">
      <c r="A10" t="s">
        <v>38</v>
      </c>
      <c r="B10" t="s">
        <v>39</v>
      </c>
      <c r="C10" t="s">
        <v>35</v>
      </c>
      <c r="D10" t="s">
        <v>29</v>
      </c>
      <c r="E10" t="s">
        <v>24</v>
      </c>
      <c r="F10" t="s">
        <v>25</v>
      </c>
      <c r="G10" t="s">
        <v>26</v>
      </c>
      <c r="H10" t="s">
        <v>27</v>
      </c>
      <c r="I10">
        <v>11</v>
      </c>
      <c r="J10">
        <v>31.86</v>
      </c>
      <c r="K10">
        <v>12</v>
      </c>
      <c r="L10">
        <v>19.829999999999998</v>
      </c>
      <c r="M10">
        <v>0</v>
      </c>
      <c r="N10">
        <v>9.765625E-4</v>
      </c>
      <c r="O10">
        <v>1.0557432432432431E-3</v>
      </c>
      <c r="P10" t="b">
        <v>1</v>
      </c>
      <c r="Q10">
        <v>1</v>
      </c>
      <c r="R10" t="s">
        <v>28</v>
      </c>
      <c r="S10" t="s">
        <v>26</v>
      </c>
    </row>
    <row r="11" spans="1:20" x14ac:dyDescent="0.2">
      <c r="A11" t="s">
        <v>40</v>
      </c>
      <c r="B11" t="s">
        <v>41</v>
      </c>
      <c r="C11" t="s">
        <v>22</v>
      </c>
      <c r="D11" t="s">
        <v>29</v>
      </c>
      <c r="E11" t="s">
        <v>24</v>
      </c>
      <c r="F11" t="s">
        <v>25</v>
      </c>
      <c r="G11" t="s">
        <v>26</v>
      </c>
      <c r="H11" t="s">
        <v>27</v>
      </c>
      <c r="I11">
        <v>11</v>
      </c>
      <c r="J11">
        <v>11</v>
      </c>
      <c r="K11">
        <v>10</v>
      </c>
      <c r="L11">
        <v>1</v>
      </c>
      <c r="M11">
        <v>0</v>
      </c>
      <c r="N11">
        <v>9.765625E-4</v>
      </c>
      <c r="O11">
        <v>1.0557432432432431E-3</v>
      </c>
      <c r="P11" t="b">
        <v>1</v>
      </c>
      <c r="Q11">
        <v>1</v>
      </c>
      <c r="R11" t="s">
        <v>28</v>
      </c>
      <c r="S11" t="s">
        <v>26</v>
      </c>
    </row>
    <row r="12" spans="1:20" x14ac:dyDescent="0.2">
      <c r="A12" t="s">
        <v>40</v>
      </c>
      <c r="B12" t="s">
        <v>41</v>
      </c>
      <c r="C12" t="s">
        <v>34</v>
      </c>
      <c r="D12" t="s">
        <v>29</v>
      </c>
      <c r="E12" t="s">
        <v>24</v>
      </c>
      <c r="F12" t="s">
        <v>25</v>
      </c>
      <c r="G12" t="s">
        <v>26</v>
      </c>
      <c r="H12" t="s">
        <v>27</v>
      </c>
      <c r="I12">
        <v>11</v>
      </c>
      <c r="J12">
        <v>11</v>
      </c>
      <c r="K12">
        <v>10</v>
      </c>
      <c r="L12">
        <v>1</v>
      </c>
      <c r="M12">
        <v>0</v>
      </c>
      <c r="N12">
        <v>9.765625E-4</v>
      </c>
      <c r="O12">
        <v>1.0557432432432431E-3</v>
      </c>
      <c r="P12" t="b">
        <v>1</v>
      </c>
      <c r="Q12">
        <v>1</v>
      </c>
      <c r="R12" t="s">
        <v>28</v>
      </c>
      <c r="S12" t="s">
        <v>26</v>
      </c>
    </row>
    <row r="13" spans="1:20" x14ac:dyDescent="0.2">
      <c r="A13" t="s">
        <v>40</v>
      </c>
      <c r="B13" t="s">
        <v>41</v>
      </c>
      <c r="C13" t="s">
        <v>35</v>
      </c>
      <c r="D13" t="s">
        <v>29</v>
      </c>
      <c r="E13" t="s">
        <v>24</v>
      </c>
      <c r="F13" t="s">
        <v>25</v>
      </c>
      <c r="G13" t="s">
        <v>26</v>
      </c>
      <c r="H13" t="s">
        <v>27</v>
      </c>
      <c r="I13">
        <v>11</v>
      </c>
      <c r="J13">
        <v>11</v>
      </c>
      <c r="K13">
        <v>10</v>
      </c>
      <c r="L13">
        <v>1</v>
      </c>
      <c r="M13">
        <v>0</v>
      </c>
      <c r="N13">
        <v>1.953125E-3</v>
      </c>
      <c r="O13">
        <v>2.0559210526315788E-3</v>
      </c>
      <c r="P13" t="b">
        <v>1</v>
      </c>
      <c r="Q13">
        <v>0.96694214876033058</v>
      </c>
      <c r="R13" t="s">
        <v>28</v>
      </c>
      <c r="S13" t="s">
        <v>26</v>
      </c>
    </row>
    <row r="14" spans="1:20" x14ac:dyDescent="0.2">
      <c r="A14" t="s">
        <v>42</v>
      </c>
      <c r="B14" t="s">
        <v>43</v>
      </c>
      <c r="C14" t="s">
        <v>22</v>
      </c>
      <c r="D14" t="s">
        <v>29</v>
      </c>
      <c r="E14" t="s">
        <v>24</v>
      </c>
      <c r="F14" t="s">
        <v>25</v>
      </c>
      <c r="G14" t="s">
        <v>26</v>
      </c>
      <c r="H14" t="s">
        <v>27</v>
      </c>
      <c r="I14">
        <v>11</v>
      </c>
      <c r="J14">
        <v>15</v>
      </c>
      <c r="K14">
        <v>15</v>
      </c>
      <c r="L14">
        <v>0</v>
      </c>
      <c r="M14">
        <v>0</v>
      </c>
      <c r="N14">
        <v>0.5</v>
      </c>
      <c r="O14">
        <v>0.51282051282051277</v>
      </c>
      <c r="P14" t="b">
        <v>0</v>
      </c>
      <c r="Q14">
        <v>0.40909090909090912</v>
      </c>
      <c r="R14" t="s">
        <v>44</v>
      </c>
      <c r="S14" t="s">
        <v>24</v>
      </c>
    </row>
    <row r="15" spans="1:20" x14ac:dyDescent="0.2">
      <c r="A15" t="s">
        <v>42</v>
      </c>
      <c r="B15" t="s">
        <v>43</v>
      </c>
      <c r="C15" t="s">
        <v>34</v>
      </c>
      <c r="D15" t="s">
        <v>29</v>
      </c>
      <c r="E15" t="s">
        <v>24</v>
      </c>
      <c r="F15" t="s">
        <v>25</v>
      </c>
      <c r="G15" t="s">
        <v>26</v>
      </c>
      <c r="H15" t="s">
        <v>27</v>
      </c>
      <c r="I15">
        <v>11</v>
      </c>
      <c r="J15">
        <v>18</v>
      </c>
      <c r="K15">
        <v>16</v>
      </c>
      <c r="L15">
        <v>2</v>
      </c>
      <c r="M15">
        <v>0</v>
      </c>
      <c r="N15">
        <v>9.765625E-4</v>
      </c>
      <c r="O15">
        <v>1.0557432432432431E-3</v>
      </c>
      <c r="P15" t="b">
        <v>1</v>
      </c>
      <c r="Q15">
        <v>1</v>
      </c>
      <c r="R15" t="s">
        <v>28</v>
      </c>
      <c r="S15" t="s">
        <v>26</v>
      </c>
    </row>
    <row r="16" spans="1:20" x14ac:dyDescent="0.2">
      <c r="A16" t="s">
        <v>42</v>
      </c>
      <c r="B16" t="s">
        <v>43</v>
      </c>
      <c r="C16" t="s">
        <v>35</v>
      </c>
      <c r="D16" t="s">
        <v>29</v>
      </c>
      <c r="E16" t="s">
        <v>24</v>
      </c>
      <c r="F16" t="s">
        <v>25</v>
      </c>
      <c r="G16" t="s">
        <v>26</v>
      </c>
      <c r="H16" t="s">
        <v>27</v>
      </c>
      <c r="I16">
        <v>11</v>
      </c>
      <c r="J16">
        <v>24</v>
      </c>
      <c r="K16">
        <v>17</v>
      </c>
      <c r="L16">
        <v>7</v>
      </c>
      <c r="M16">
        <v>0</v>
      </c>
      <c r="N16">
        <v>9.765625E-4</v>
      </c>
      <c r="O16">
        <v>1.0557432432432431E-3</v>
      </c>
      <c r="P16" t="b">
        <v>1</v>
      </c>
      <c r="Q16">
        <v>1</v>
      </c>
      <c r="R16" t="s">
        <v>28</v>
      </c>
      <c r="S16" t="s">
        <v>26</v>
      </c>
    </row>
    <row r="17" spans="1:20" x14ac:dyDescent="0.2">
      <c r="A17" t="s">
        <v>45</v>
      </c>
      <c r="B17" t="s">
        <v>46</v>
      </c>
      <c r="C17" t="s">
        <v>22</v>
      </c>
      <c r="D17" t="s">
        <v>29</v>
      </c>
      <c r="E17" t="s">
        <v>24</v>
      </c>
      <c r="F17" t="s">
        <v>25</v>
      </c>
      <c r="G17" t="s">
        <v>26</v>
      </c>
      <c r="H17" t="s">
        <v>27</v>
      </c>
      <c r="I17">
        <v>11</v>
      </c>
      <c r="J17">
        <v>13</v>
      </c>
      <c r="K17">
        <v>13.31</v>
      </c>
      <c r="L17">
        <v>-0.3100000000000005</v>
      </c>
      <c r="M17">
        <v>0</v>
      </c>
      <c r="N17">
        <v>9.765625E-4</v>
      </c>
      <c r="O17">
        <v>1.0557432432432431E-3</v>
      </c>
      <c r="P17" t="b">
        <v>1</v>
      </c>
      <c r="Q17">
        <v>0</v>
      </c>
      <c r="R17" t="s">
        <v>28</v>
      </c>
      <c r="S17" t="s">
        <v>24</v>
      </c>
    </row>
    <row r="18" spans="1:20" x14ac:dyDescent="0.2">
      <c r="A18" t="s">
        <v>45</v>
      </c>
      <c r="B18" t="s">
        <v>46</v>
      </c>
      <c r="C18" t="s">
        <v>34</v>
      </c>
      <c r="D18" t="s">
        <v>29</v>
      </c>
      <c r="E18" t="s">
        <v>24</v>
      </c>
      <c r="F18" t="s">
        <v>25</v>
      </c>
      <c r="G18" t="s">
        <v>26</v>
      </c>
      <c r="H18" t="s">
        <v>27</v>
      </c>
      <c r="I18">
        <v>11</v>
      </c>
      <c r="J18">
        <v>19.739999999999998</v>
      </c>
      <c r="K18">
        <v>18.34</v>
      </c>
      <c r="L18">
        <v>1.399999999999999</v>
      </c>
      <c r="M18">
        <v>0</v>
      </c>
      <c r="N18">
        <v>9.765625E-4</v>
      </c>
      <c r="O18">
        <v>1.0557432432432431E-3</v>
      </c>
      <c r="P18" t="b">
        <v>1</v>
      </c>
      <c r="Q18">
        <v>1</v>
      </c>
      <c r="R18" t="s">
        <v>28</v>
      </c>
      <c r="S18" t="s">
        <v>26</v>
      </c>
    </row>
    <row r="19" spans="1:20" x14ac:dyDescent="0.2">
      <c r="A19" t="s">
        <v>45</v>
      </c>
      <c r="B19" t="s">
        <v>46</v>
      </c>
      <c r="C19" t="s">
        <v>35</v>
      </c>
      <c r="D19" t="s">
        <v>29</v>
      </c>
      <c r="E19" t="s">
        <v>24</v>
      </c>
      <c r="F19" t="s">
        <v>25</v>
      </c>
      <c r="G19" t="s">
        <v>26</v>
      </c>
      <c r="H19" t="s">
        <v>27</v>
      </c>
      <c r="I19">
        <v>11</v>
      </c>
      <c r="J19">
        <v>38.25</v>
      </c>
      <c r="K19">
        <v>28.36</v>
      </c>
      <c r="L19">
        <v>9.89</v>
      </c>
      <c r="M19">
        <v>0</v>
      </c>
      <c r="N19">
        <v>9.765625E-4</v>
      </c>
      <c r="O19">
        <v>1.0557432432432431E-3</v>
      </c>
      <c r="P19" t="b">
        <v>1</v>
      </c>
      <c r="Q19">
        <v>1</v>
      </c>
      <c r="R19" t="s">
        <v>28</v>
      </c>
      <c r="S19" t="s">
        <v>26</v>
      </c>
    </row>
    <row r="20" spans="1:20" x14ac:dyDescent="0.2">
      <c r="A20" t="s">
        <v>47</v>
      </c>
      <c r="B20" t="s">
        <v>48</v>
      </c>
      <c r="C20" t="s">
        <v>22</v>
      </c>
      <c r="D20" t="s">
        <v>29</v>
      </c>
      <c r="E20" t="s">
        <v>24</v>
      </c>
      <c r="F20" t="s">
        <v>25</v>
      </c>
      <c r="G20" t="s">
        <v>26</v>
      </c>
      <c r="H20" t="s">
        <v>27</v>
      </c>
      <c r="I20">
        <v>11</v>
      </c>
      <c r="J20">
        <v>127.66</v>
      </c>
      <c r="K20">
        <v>40.67</v>
      </c>
      <c r="L20">
        <v>86.97999999999999</v>
      </c>
      <c r="M20">
        <v>0</v>
      </c>
      <c r="N20">
        <v>9.765625E-4</v>
      </c>
      <c r="O20">
        <v>1.0557432432432431E-3</v>
      </c>
      <c r="P20" t="b">
        <v>1</v>
      </c>
      <c r="Q20">
        <v>1</v>
      </c>
      <c r="R20" t="s">
        <v>28</v>
      </c>
      <c r="S20" t="s">
        <v>26</v>
      </c>
    </row>
    <row r="21" spans="1:20" x14ac:dyDescent="0.2">
      <c r="A21" t="s">
        <v>47</v>
      </c>
      <c r="B21" t="s">
        <v>48</v>
      </c>
      <c r="C21" t="s">
        <v>34</v>
      </c>
      <c r="D21" t="s">
        <v>29</v>
      </c>
      <c r="E21" t="s">
        <v>24</v>
      </c>
      <c r="F21" t="s">
        <v>25</v>
      </c>
      <c r="G21" t="s">
        <v>26</v>
      </c>
      <c r="H21" t="s">
        <v>27</v>
      </c>
      <c r="I21">
        <v>11</v>
      </c>
      <c r="J21">
        <v>260.17</v>
      </c>
      <c r="K21">
        <v>43.66</v>
      </c>
      <c r="L21">
        <v>216.51</v>
      </c>
      <c r="M21">
        <v>0</v>
      </c>
      <c r="N21">
        <v>9.765625E-4</v>
      </c>
      <c r="O21">
        <v>1.0557432432432431E-3</v>
      </c>
      <c r="P21" t="b">
        <v>1</v>
      </c>
      <c r="Q21">
        <v>1</v>
      </c>
      <c r="R21" t="s">
        <v>28</v>
      </c>
      <c r="S21" t="s">
        <v>26</v>
      </c>
    </row>
    <row r="22" spans="1:20" x14ac:dyDescent="0.2">
      <c r="A22" t="s">
        <v>47</v>
      </c>
      <c r="B22" t="s">
        <v>48</v>
      </c>
      <c r="C22" t="s">
        <v>35</v>
      </c>
      <c r="D22" t="s">
        <v>29</v>
      </c>
      <c r="E22" t="s">
        <v>24</v>
      </c>
      <c r="F22" t="s">
        <v>25</v>
      </c>
      <c r="G22" t="s">
        <v>26</v>
      </c>
      <c r="H22" t="s">
        <v>27</v>
      </c>
      <c r="I22">
        <v>11</v>
      </c>
      <c r="J22">
        <v>454.09</v>
      </c>
      <c r="K22">
        <v>50.69</v>
      </c>
      <c r="L22">
        <v>403.4</v>
      </c>
      <c r="M22">
        <v>0</v>
      </c>
      <c r="N22">
        <v>9.765625E-4</v>
      </c>
      <c r="O22">
        <v>1.0557432432432431E-3</v>
      </c>
      <c r="P22" t="b">
        <v>1</v>
      </c>
      <c r="Q22">
        <v>1</v>
      </c>
      <c r="R22" t="s">
        <v>28</v>
      </c>
      <c r="S22" t="s">
        <v>26</v>
      </c>
    </row>
    <row r="23" spans="1:20" x14ac:dyDescent="0.2">
      <c r="A23" t="s">
        <v>49</v>
      </c>
      <c r="B23" t="s">
        <v>50</v>
      </c>
      <c r="C23" t="s">
        <v>22</v>
      </c>
      <c r="D23" t="s">
        <v>29</v>
      </c>
      <c r="E23" t="s">
        <v>24</v>
      </c>
      <c r="F23" t="s">
        <v>25</v>
      </c>
      <c r="G23" t="s">
        <v>26</v>
      </c>
      <c r="H23" t="s">
        <v>27</v>
      </c>
      <c r="I23">
        <v>11</v>
      </c>
      <c r="J23">
        <v>15</v>
      </c>
      <c r="K23">
        <v>17</v>
      </c>
      <c r="L23">
        <v>-2</v>
      </c>
      <c r="M23">
        <v>0</v>
      </c>
      <c r="N23">
        <v>9.765625E-4</v>
      </c>
      <c r="O23">
        <v>1.0557432432432431E-3</v>
      </c>
      <c r="P23" t="b">
        <v>1</v>
      </c>
      <c r="Q23">
        <v>0</v>
      </c>
      <c r="R23" t="s">
        <v>28</v>
      </c>
      <c r="S23" t="s">
        <v>24</v>
      </c>
    </row>
    <row r="24" spans="1:20" x14ac:dyDescent="0.2">
      <c r="A24" t="s">
        <v>49</v>
      </c>
      <c r="B24" t="s">
        <v>50</v>
      </c>
      <c r="C24" t="s">
        <v>34</v>
      </c>
      <c r="D24" t="s">
        <v>29</v>
      </c>
      <c r="E24" t="s">
        <v>24</v>
      </c>
      <c r="F24" t="s">
        <v>25</v>
      </c>
      <c r="G24" t="s">
        <v>26</v>
      </c>
      <c r="H24" t="s">
        <v>27</v>
      </c>
      <c r="I24">
        <v>11</v>
      </c>
      <c r="J24">
        <v>17</v>
      </c>
      <c r="K24">
        <v>17</v>
      </c>
      <c r="L24">
        <v>0</v>
      </c>
      <c r="M24">
        <v>0</v>
      </c>
      <c r="N24">
        <v>1</v>
      </c>
      <c r="O24">
        <v>1</v>
      </c>
      <c r="P24" t="b">
        <v>0</v>
      </c>
      <c r="Q24">
        <v>0.5</v>
      </c>
      <c r="R24" t="s">
        <v>31</v>
      </c>
      <c r="S24" t="s">
        <v>32</v>
      </c>
      <c r="T24" t="s">
        <v>33</v>
      </c>
    </row>
    <row r="25" spans="1:20" x14ac:dyDescent="0.2">
      <c r="A25" t="s">
        <v>49</v>
      </c>
      <c r="B25" t="s">
        <v>50</v>
      </c>
      <c r="C25" t="s">
        <v>35</v>
      </c>
      <c r="D25" t="s">
        <v>29</v>
      </c>
      <c r="E25" t="s">
        <v>24</v>
      </c>
      <c r="F25" t="s">
        <v>25</v>
      </c>
      <c r="G25" t="s">
        <v>26</v>
      </c>
      <c r="H25" t="s">
        <v>27</v>
      </c>
      <c r="I25">
        <v>11</v>
      </c>
      <c r="J25">
        <v>20.94</v>
      </c>
      <c r="K25">
        <v>18</v>
      </c>
      <c r="L25">
        <v>2.9400000000000008</v>
      </c>
      <c r="M25">
        <v>0</v>
      </c>
      <c r="N25">
        <v>9.765625E-4</v>
      </c>
      <c r="O25">
        <v>1.0557432432432431E-3</v>
      </c>
      <c r="P25" t="b">
        <v>1</v>
      </c>
      <c r="Q25">
        <v>1</v>
      </c>
      <c r="R25" t="s">
        <v>28</v>
      </c>
      <c r="S25" t="s">
        <v>26</v>
      </c>
    </row>
    <row r="26" spans="1:20" x14ac:dyDescent="0.2">
      <c r="A26" t="s">
        <v>20</v>
      </c>
      <c r="B26" t="s">
        <v>21</v>
      </c>
      <c r="C26" t="s">
        <v>51</v>
      </c>
      <c r="D26" t="s">
        <v>29</v>
      </c>
      <c r="E26" t="s">
        <v>24</v>
      </c>
      <c r="F26" t="s">
        <v>25</v>
      </c>
      <c r="G26" t="s">
        <v>52</v>
      </c>
      <c r="H26" t="s">
        <v>53</v>
      </c>
      <c r="I26">
        <v>11</v>
      </c>
      <c r="J26">
        <v>9</v>
      </c>
      <c r="K26">
        <v>6</v>
      </c>
      <c r="L26">
        <v>3</v>
      </c>
      <c r="M26">
        <v>0</v>
      </c>
      <c r="N26">
        <v>9.765625E-4</v>
      </c>
      <c r="O26">
        <v>1.0557432432432431E-3</v>
      </c>
      <c r="P26" t="b">
        <v>1</v>
      </c>
      <c r="Q26">
        <v>1</v>
      </c>
      <c r="R26" t="s">
        <v>28</v>
      </c>
      <c r="S26" t="s">
        <v>52</v>
      </c>
    </row>
    <row r="27" spans="1:20" x14ac:dyDescent="0.2">
      <c r="A27" t="s">
        <v>36</v>
      </c>
      <c r="B27" t="s">
        <v>37</v>
      </c>
      <c r="C27" t="s">
        <v>51</v>
      </c>
      <c r="D27" t="s">
        <v>29</v>
      </c>
      <c r="E27" t="s">
        <v>24</v>
      </c>
      <c r="F27" t="s">
        <v>25</v>
      </c>
      <c r="G27" t="s">
        <v>52</v>
      </c>
      <c r="H27" t="s">
        <v>53</v>
      </c>
      <c r="I27">
        <v>11</v>
      </c>
      <c r="J27">
        <v>10</v>
      </c>
      <c r="K27">
        <v>7</v>
      </c>
      <c r="L27">
        <v>3</v>
      </c>
      <c r="M27">
        <v>0</v>
      </c>
      <c r="N27">
        <v>9.765625E-4</v>
      </c>
      <c r="O27">
        <v>1.0557432432432431E-3</v>
      </c>
      <c r="P27" t="b">
        <v>1</v>
      </c>
      <c r="Q27">
        <v>1</v>
      </c>
      <c r="R27" t="s">
        <v>28</v>
      </c>
      <c r="S27" t="s">
        <v>52</v>
      </c>
    </row>
    <row r="28" spans="1:20" x14ac:dyDescent="0.2">
      <c r="A28" t="s">
        <v>38</v>
      </c>
      <c r="B28" t="s">
        <v>39</v>
      </c>
      <c r="C28" t="s">
        <v>51</v>
      </c>
      <c r="D28" t="s">
        <v>29</v>
      </c>
      <c r="E28" t="s">
        <v>24</v>
      </c>
      <c r="F28" t="s">
        <v>25</v>
      </c>
      <c r="G28" t="s">
        <v>52</v>
      </c>
      <c r="H28" t="s">
        <v>53</v>
      </c>
      <c r="I28">
        <v>11</v>
      </c>
      <c r="J28">
        <v>11</v>
      </c>
      <c r="K28">
        <v>7</v>
      </c>
      <c r="L28">
        <v>4</v>
      </c>
      <c r="M28">
        <v>0</v>
      </c>
      <c r="N28">
        <v>9.765625E-4</v>
      </c>
      <c r="O28">
        <v>1.0557432432432431E-3</v>
      </c>
      <c r="P28" t="b">
        <v>1</v>
      </c>
      <c r="Q28">
        <v>1</v>
      </c>
      <c r="R28" t="s">
        <v>28</v>
      </c>
      <c r="S28" t="s">
        <v>52</v>
      </c>
    </row>
    <row r="29" spans="1:20" x14ac:dyDescent="0.2">
      <c r="A29" t="s">
        <v>40</v>
      </c>
      <c r="B29" t="s">
        <v>41</v>
      </c>
      <c r="C29" t="s">
        <v>51</v>
      </c>
      <c r="D29" t="s">
        <v>29</v>
      </c>
      <c r="E29" t="s">
        <v>24</v>
      </c>
      <c r="F29" t="s">
        <v>25</v>
      </c>
      <c r="G29" t="s">
        <v>52</v>
      </c>
      <c r="H29" t="s">
        <v>53</v>
      </c>
      <c r="I29">
        <v>11</v>
      </c>
      <c r="J29">
        <v>11</v>
      </c>
      <c r="K29">
        <v>12.14</v>
      </c>
      <c r="L29">
        <v>-1.140000000000001</v>
      </c>
      <c r="M29">
        <v>0</v>
      </c>
      <c r="N29">
        <v>9.765625E-4</v>
      </c>
      <c r="O29">
        <v>1.0557432432432431E-3</v>
      </c>
      <c r="P29" t="b">
        <v>1</v>
      </c>
      <c r="Q29">
        <v>0</v>
      </c>
      <c r="R29" t="s">
        <v>28</v>
      </c>
      <c r="S29" t="s">
        <v>24</v>
      </c>
    </row>
    <row r="30" spans="1:20" x14ac:dyDescent="0.2">
      <c r="A30" t="s">
        <v>42</v>
      </c>
      <c r="B30" t="s">
        <v>43</v>
      </c>
      <c r="C30" t="s">
        <v>51</v>
      </c>
      <c r="D30" t="s">
        <v>29</v>
      </c>
      <c r="E30" t="s">
        <v>24</v>
      </c>
      <c r="F30" t="s">
        <v>25</v>
      </c>
      <c r="G30" t="s">
        <v>52</v>
      </c>
      <c r="H30" t="s">
        <v>53</v>
      </c>
      <c r="I30">
        <v>11</v>
      </c>
      <c r="J30">
        <v>15</v>
      </c>
      <c r="K30">
        <v>19.45</v>
      </c>
      <c r="L30">
        <v>-4.4499999999999993</v>
      </c>
      <c r="M30">
        <v>0</v>
      </c>
      <c r="N30">
        <v>9.765625E-4</v>
      </c>
      <c r="O30">
        <v>1.0557432432432431E-3</v>
      </c>
      <c r="P30" t="b">
        <v>1</v>
      </c>
      <c r="Q30">
        <v>0</v>
      </c>
      <c r="R30" t="s">
        <v>28</v>
      </c>
      <c r="S30" t="s">
        <v>24</v>
      </c>
    </row>
    <row r="31" spans="1:20" x14ac:dyDescent="0.2">
      <c r="A31" t="s">
        <v>45</v>
      </c>
      <c r="B31" t="s">
        <v>46</v>
      </c>
      <c r="C31" t="s">
        <v>51</v>
      </c>
      <c r="D31" t="s">
        <v>29</v>
      </c>
      <c r="E31" t="s">
        <v>24</v>
      </c>
      <c r="F31" t="s">
        <v>25</v>
      </c>
      <c r="G31" t="s">
        <v>52</v>
      </c>
      <c r="H31" t="s">
        <v>53</v>
      </c>
      <c r="I31">
        <v>11</v>
      </c>
      <c r="J31">
        <v>13</v>
      </c>
      <c r="K31">
        <v>33.26</v>
      </c>
      <c r="L31">
        <v>-20.260000000000002</v>
      </c>
      <c r="M31">
        <v>0</v>
      </c>
      <c r="N31">
        <v>9.765625E-4</v>
      </c>
      <c r="O31">
        <v>1.0557432432432431E-3</v>
      </c>
      <c r="P31" t="b">
        <v>1</v>
      </c>
      <c r="Q31">
        <v>0</v>
      </c>
      <c r="R31" t="s">
        <v>28</v>
      </c>
      <c r="S31" t="s">
        <v>24</v>
      </c>
    </row>
    <row r="32" spans="1:20" x14ac:dyDescent="0.2">
      <c r="A32" t="s">
        <v>47</v>
      </c>
      <c r="B32" t="s">
        <v>48</v>
      </c>
      <c r="C32" t="s">
        <v>51</v>
      </c>
      <c r="D32" t="s">
        <v>29</v>
      </c>
      <c r="E32" t="s">
        <v>24</v>
      </c>
      <c r="F32" t="s">
        <v>25</v>
      </c>
      <c r="G32" t="s">
        <v>52</v>
      </c>
      <c r="H32" t="s">
        <v>53</v>
      </c>
      <c r="I32">
        <v>11</v>
      </c>
      <c r="J32">
        <v>127.66</v>
      </c>
      <c r="K32">
        <v>311.58999999999997</v>
      </c>
      <c r="L32">
        <v>-183.94</v>
      </c>
      <c r="M32">
        <v>0</v>
      </c>
      <c r="N32">
        <v>9.765625E-4</v>
      </c>
      <c r="O32">
        <v>1.0557432432432431E-3</v>
      </c>
      <c r="P32" t="b">
        <v>1</v>
      </c>
      <c r="Q32">
        <v>0</v>
      </c>
      <c r="R32" t="s">
        <v>28</v>
      </c>
      <c r="S32" t="s">
        <v>24</v>
      </c>
    </row>
    <row r="33" spans="1:19" x14ac:dyDescent="0.2">
      <c r="A33" t="s">
        <v>49</v>
      </c>
      <c r="B33" t="s">
        <v>50</v>
      </c>
      <c r="C33" t="s">
        <v>51</v>
      </c>
      <c r="D33" t="s">
        <v>29</v>
      </c>
      <c r="E33" t="s">
        <v>24</v>
      </c>
      <c r="F33" t="s">
        <v>25</v>
      </c>
      <c r="G33" t="s">
        <v>52</v>
      </c>
      <c r="H33" t="s">
        <v>53</v>
      </c>
      <c r="I33">
        <v>11</v>
      </c>
      <c r="J33">
        <v>15</v>
      </c>
      <c r="K33">
        <v>135.52000000000001</v>
      </c>
      <c r="L33">
        <v>-120.52</v>
      </c>
      <c r="M33">
        <v>0</v>
      </c>
      <c r="N33">
        <v>9.765625E-4</v>
      </c>
      <c r="O33">
        <v>1.0557432432432431E-3</v>
      </c>
      <c r="P33" t="b">
        <v>1</v>
      </c>
      <c r="Q33">
        <v>0</v>
      </c>
      <c r="R33" t="s">
        <v>28</v>
      </c>
      <c r="S33" t="s">
        <v>24</v>
      </c>
    </row>
    <row r="34" spans="1:19" x14ac:dyDescent="0.2">
      <c r="A34" t="s">
        <v>20</v>
      </c>
      <c r="B34" t="s">
        <v>21</v>
      </c>
      <c r="C34" t="s">
        <v>51</v>
      </c>
      <c r="D34" t="s">
        <v>29</v>
      </c>
      <c r="E34" t="s">
        <v>26</v>
      </c>
      <c r="F34" t="s">
        <v>27</v>
      </c>
      <c r="G34" t="s">
        <v>52</v>
      </c>
      <c r="H34" t="s">
        <v>53</v>
      </c>
      <c r="I34">
        <v>11</v>
      </c>
      <c r="J34">
        <v>8</v>
      </c>
      <c r="K34">
        <v>6</v>
      </c>
      <c r="L34">
        <v>2</v>
      </c>
      <c r="M34">
        <v>0</v>
      </c>
      <c r="N34">
        <v>9.765625E-4</v>
      </c>
      <c r="O34">
        <v>1.0557432432432431E-3</v>
      </c>
      <c r="P34" t="b">
        <v>1</v>
      </c>
      <c r="Q34">
        <v>1</v>
      </c>
      <c r="R34" t="s">
        <v>28</v>
      </c>
      <c r="S34" t="s">
        <v>52</v>
      </c>
    </row>
    <row r="35" spans="1:19" x14ac:dyDescent="0.2">
      <c r="A35" t="s">
        <v>36</v>
      </c>
      <c r="B35" t="s">
        <v>37</v>
      </c>
      <c r="C35" t="s">
        <v>51</v>
      </c>
      <c r="D35" t="s">
        <v>29</v>
      </c>
      <c r="E35" t="s">
        <v>26</v>
      </c>
      <c r="F35" t="s">
        <v>27</v>
      </c>
      <c r="G35" t="s">
        <v>52</v>
      </c>
      <c r="H35" t="s">
        <v>53</v>
      </c>
      <c r="I35">
        <v>11</v>
      </c>
      <c r="J35">
        <v>8</v>
      </c>
      <c r="K35">
        <v>7</v>
      </c>
      <c r="L35">
        <v>1</v>
      </c>
      <c r="M35">
        <v>0</v>
      </c>
      <c r="N35">
        <v>9.765625E-4</v>
      </c>
      <c r="O35">
        <v>1.0557432432432431E-3</v>
      </c>
      <c r="P35" t="b">
        <v>1</v>
      </c>
      <c r="Q35">
        <v>1</v>
      </c>
      <c r="R35" t="s">
        <v>28</v>
      </c>
      <c r="S35" t="s">
        <v>52</v>
      </c>
    </row>
    <row r="36" spans="1:19" x14ac:dyDescent="0.2">
      <c r="A36" t="s">
        <v>38</v>
      </c>
      <c r="B36" t="s">
        <v>39</v>
      </c>
      <c r="C36" t="s">
        <v>51</v>
      </c>
      <c r="D36" t="s">
        <v>29</v>
      </c>
      <c r="E36" t="s">
        <v>26</v>
      </c>
      <c r="F36" t="s">
        <v>27</v>
      </c>
      <c r="G36" t="s">
        <v>52</v>
      </c>
      <c r="H36" t="s">
        <v>53</v>
      </c>
      <c r="I36">
        <v>11</v>
      </c>
      <c r="J36">
        <v>9</v>
      </c>
      <c r="K36">
        <v>7</v>
      </c>
      <c r="L36">
        <v>2</v>
      </c>
      <c r="M36">
        <v>0</v>
      </c>
      <c r="N36">
        <v>9.765625E-4</v>
      </c>
      <c r="O36">
        <v>1.0557432432432431E-3</v>
      </c>
      <c r="P36" t="b">
        <v>1</v>
      </c>
      <c r="Q36">
        <v>1</v>
      </c>
      <c r="R36" t="s">
        <v>28</v>
      </c>
      <c r="S36" t="s">
        <v>52</v>
      </c>
    </row>
    <row r="37" spans="1:19" x14ac:dyDescent="0.2">
      <c r="A37" t="s">
        <v>40</v>
      </c>
      <c r="B37" t="s">
        <v>41</v>
      </c>
      <c r="C37" t="s">
        <v>51</v>
      </c>
      <c r="D37" t="s">
        <v>29</v>
      </c>
      <c r="E37" t="s">
        <v>26</v>
      </c>
      <c r="F37" t="s">
        <v>27</v>
      </c>
      <c r="G37" t="s">
        <v>52</v>
      </c>
      <c r="H37" t="s">
        <v>53</v>
      </c>
      <c r="I37">
        <v>11</v>
      </c>
      <c r="J37">
        <v>10</v>
      </c>
      <c r="K37">
        <v>12.14</v>
      </c>
      <c r="L37">
        <v>-2.140000000000001</v>
      </c>
      <c r="M37">
        <v>0</v>
      </c>
      <c r="N37">
        <v>9.765625E-4</v>
      </c>
      <c r="O37">
        <v>1.0557432432432431E-3</v>
      </c>
      <c r="P37" t="b">
        <v>1</v>
      </c>
      <c r="Q37">
        <v>0</v>
      </c>
      <c r="R37" t="s">
        <v>28</v>
      </c>
      <c r="S37" t="s">
        <v>26</v>
      </c>
    </row>
    <row r="38" spans="1:19" x14ac:dyDescent="0.2">
      <c r="A38" t="s">
        <v>42</v>
      </c>
      <c r="B38" t="s">
        <v>43</v>
      </c>
      <c r="C38" t="s">
        <v>51</v>
      </c>
      <c r="D38" t="s">
        <v>29</v>
      </c>
      <c r="E38" t="s">
        <v>26</v>
      </c>
      <c r="F38" t="s">
        <v>27</v>
      </c>
      <c r="G38" t="s">
        <v>52</v>
      </c>
      <c r="H38" t="s">
        <v>53</v>
      </c>
      <c r="I38">
        <v>11</v>
      </c>
      <c r="J38">
        <v>15</v>
      </c>
      <c r="K38">
        <v>19.45</v>
      </c>
      <c r="L38">
        <v>-4.4499999999999993</v>
      </c>
      <c r="M38">
        <v>0</v>
      </c>
      <c r="N38">
        <v>9.765625E-4</v>
      </c>
      <c r="O38">
        <v>1.0557432432432431E-3</v>
      </c>
      <c r="P38" t="b">
        <v>1</v>
      </c>
      <c r="Q38">
        <v>0</v>
      </c>
      <c r="R38" t="s">
        <v>28</v>
      </c>
      <c r="S38" t="s">
        <v>26</v>
      </c>
    </row>
    <row r="39" spans="1:19" x14ac:dyDescent="0.2">
      <c r="A39" t="s">
        <v>45</v>
      </c>
      <c r="B39" t="s">
        <v>46</v>
      </c>
      <c r="C39" t="s">
        <v>51</v>
      </c>
      <c r="D39" t="s">
        <v>29</v>
      </c>
      <c r="E39" t="s">
        <v>26</v>
      </c>
      <c r="F39" t="s">
        <v>27</v>
      </c>
      <c r="G39" t="s">
        <v>52</v>
      </c>
      <c r="H39" t="s">
        <v>53</v>
      </c>
      <c r="I39">
        <v>11</v>
      </c>
      <c r="J39">
        <v>13.31</v>
      </c>
      <c r="K39">
        <v>33.26</v>
      </c>
      <c r="L39">
        <v>-19.95</v>
      </c>
      <c r="M39">
        <v>0</v>
      </c>
      <c r="N39">
        <v>9.765625E-4</v>
      </c>
      <c r="O39">
        <v>1.0557432432432431E-3</v>
      </c>
      <c r="P39" t="b">
        <v>1</v>
      </c>
      <c r="Q39">
        <v>0</v>
      </c>
      <c r="R39" t="s">
        <v>28</v>
      </c>
      <c r="S39" t="s">
        <v>26</v>
      </c>
    </row>
    <row r="40" spans="1:19" x14ac:dyDescent="0.2">
      <c r="A40" t="s">
        <v>47</v>
      </c>
      <c r="B40" t="s">
        <v>48</v>
      </c>
      <c r="C40" t="s">
        <v>51</v>
      </c>
      <c r="D40" t="s">
        <v>29</v>
      </c>
      <c r="E40" t="s">
        <v>26</v>
      </c>
      <c r="F40" t="s">
        <v>27</v>
      </c>
      <c r="G40" t="s">
        <v>52</v>
      </c>
      <c r="H40" t="s">
        <v>53</v>
      </c>
      <c r="I40">
        <v>11</v>
      </c>
      <c r="J40">
        <v>40.67</v>
      </c>
      <c r="K40">
        <v>311.58999999999997</v>
      </c>
      <c r="L40">
        <v>-270.92</v>
      </c>
      <c r="M40">
        <v>0</v>
      </c>
      <c r="N40">
        <v>9.765625E-4</v>
      </c>
      <c r="O40">
        <v>1.0557432432432431E-3</v>
      </c>
      <c r="P40" t="b">
        <v>1</v>
      </c>
      <c r="Q40">
        <v>0</v>
      </c>
      <c r="R40" t="s">
        <v>28</v>
      </c>
      <c r="S40" t="s">
        <v>26</v>
      </c>
    </row>
    <row r="41" spans="1:19" x14ac:dyDescent="0.2">
      <c r="A41" t="s">
        <v>49</v>
      </c>
      <c r="B41" t="s">
        <v>50</v>
      </c>
      <c r="C41" t="s">
        <v>51</v>
      </c>
      <c r="D41" t="s">
        <v>29</v>
      </c>
      <c r="E41" t="s">
        <v>26</v>
      </c>
      <c r="F41" t="s">
        <v>27</v>
      </c>
      <c r="G41" t="s">
        <v>52</v>
      </c>
      <c r="H41" t="s">
        <v>53</v>
      </c>
      <c r="I41">
        <v>11</v>
      </c>
      <c r="J41">
        <v>17</v>
      </c>
      <c r="K41">
        <v>135.52000000000001</v>
      </c>
      <c r="L41">
        <v>-118.52</v>
      </c>
      <c r="M41">
        <v>0</v>
      </c>
      <c r="N41">
        <v>9.765625E-4</v>
      </c>
      <c r="O41">
        <v>1.0557432432432431E-3</v>
      </c>
      <c r="P41" t="b">
        <v>1</v>
      </c>
      <c r="Q41">
        <v>0</v>
      </c>
      <c r="R41" t="s">
        <v>28</v>
      </c>
      <c r="S41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30</v>
      </c>
      <c r="E2" t="s">
        <v>24</v>
      </c>
      <c r="F2" t="s">
        <v>25</v>
      </c>
      <c r="G2" t="s">
        <v>26</v>
      </c>
      <c r="H2" t="s">
        <v>27</v>
      </c>
      <c r="I2">
        <v>11</v>
      </c>
      <c r="J2">
        <v>100</v>
      </c>
      <c r="K2">
        <v>100</v>
      </c>
      <c r="L2">
        <v>0</v>
      </c>
      <c r="M2">
        <v>0</v>
      </c>
      <c r="N2">
        <v>1</v>
      </c>
      <c r="O2">
        <v>1</v>
      </c>
      <c r="P2" t="b">
        <v>0</v>
      </c>
      <c r="Q2">
        <v>0.5</v>
      </c>
      <c r="R2" t="s">
        <v>31</v>
      </c>
      <c r="S2" t="s">
        <v>32</v>
      </c>
      <c r="T2" t="s">
        <v>33</v>
      </c>
    </row>
    <row r="3" spans="1:20" x14ac:dyDescent="0.2">
      <c r="A3" t="s">
        <v>20</v>
      </c>
      <c r="B3" t="s">
        <v>21</v>
      </c>
      <c r="C3" t="s">
        <v>34</v>
      </c>
      <c r="D3" t="s">
        <v>30</v>
      </c>
      <c r="E3" t="s">
        <v>24</v>
      </c>
      <c r="F3" t="s">
        <v>25</v>
      </c>
      <c r="G3" t="s">
        <v>26</v>
      </c>
      <c r="H3" t="s">
        <v>27</v>
      </c>
      <c r="I3">
        <v>11</v>
      </c>
      <c r="J3">
        <v>100</v>
      </c>
      <c r="K3">
        <v>100</v>
      </c>
      <c r="L3">
        <v>0</v>
      </c>
      <c r="M3">
        <v>0</v>
      </c>
      <c r="N3">
        <v>1</v>
      </c>
      <c r="O3">
        <v>1</v>
      </c>
      <c r="P3" t="b">
        <v>0</v>
      </c>
      <c r="Q3">
        <v>0.5</v>
      </c>
      <c r="R3" t="s">
        <v>31</v>
      </c>
      <c r="S3" t="s">
        <v>32</v>
      </c>
      <c r="T3" t="s">
        <v>33</v>
      </c>
    </row>
    <row r="4" spans="1:20" x14ac:dyDescent="0.2">
      <c r="A4" t="s">
        <v>20</v>
      </c>
      <c r="B4" t="s">
        <v>21</v>
      </c>
      <c r="C4" t="s">
        <v>35</v>
      </c>
      <c r="D4" t="s">
        <v>30</v>
      </c>
      <c r="E4" t="s">
        <v>24</v>
      </c>
      <c r="F4" t="s">
        <v>25</v>
      </c>
      <c r="G4" t="s">
        <v>26</v>
      </c>
      <c r="H4" t="s">
        <v>27</v>
      </c>
      <c r="I4">
        <v>11</v>
      </c>
      <c r="J4">
        <v>100</v>
      </c>
      <c r="K4">
        <v>100</v>
      </c>
      <c r="L4">
        <v>0</v>
      </c>
      <c r="M4">
        <v>0</v>
      </c>
      <c r="N4">
        <v>1</v>
      </c>
      <c r="O4">
        <v>1</v>
      </c>
      <c r="P4" t="b">
        <v>0</v>
      </c>
      <c r="Q4">
        <v>0.5</v>
      </c>
      <c r="R4" t="s">
        <v>31</v>
      </c>
      <c r="S4" t="s">
        <v>32</v>
      </c>
      <c r="T4" t="s">
        <v>33</v>
      </c>
    </row>
    <row r="5" spans="1:20" x14ac:dyDescent="0.2">
      <c r="A5" t="s">
        <v>36</v>
      </c>
      <c r="B5" t="s">
        <v>37</v>
      </c>
      <c r="C5" t="s">
        <v>22</v>
      </c>
      <c r="D5" t="s">
        <v>30</v>
      </c>
      <c r="E5" t="s">
        <v>24</v>
      </c>
      <c r="F5" t="s">
        <v>25</v>
      </c>
      <c r="G5" t="s">
        <v>26</v>
      </c>
      <c r="H5" t="s">
        <v>27</v>
      </c>
      <c r="I5">
        <v>11</v>
      </c>
      <c r="J5">
        <v>100</v>
      </c>
      <c r="K5">
        <v>35.753043478260857</v>
      </c>
      <c r="L5">
        <v>64.246956521739151</v>
      </c>
      <c r="M5">
        <v>0</v>
      </c>
      <c r="N5">
        <v>9.765625E-4</v>
      </c>
      <c r="O5">
        <v>1.34698275862069E-3</v>
      </c>
      <c r="P5" t="b">
        <v>1</v>
      </c>
      <c r="Q5">
        <v>1</v>
      </c>
      <c r="R5" t="s">
        <v>28</v>
      </c>
      <c r="S5" t="s">
        <v>26</v>
      </c>
    </row>
    <row r="6" spans="1:20" x14ac:dyDescent="0.2">
      <c r="A6" t="s">
        <v>36</v>
      </c>
      <c r="B6" t="s">
        <v>37</v>
      </c>
      <c r="C6" t="s">
        <v>34</v>
      </c>
      <c r="D6" t="s">
        <v>30</v>
      </c>
      <c r="E6" t="s">
        <v>24</v>
      </c>
      <c r="F6" t="s">
        <v>25</v>
      </c>
      <c r="G6" t="s">
        <v>26</v>
      </c>
      <c r="H6" t="s">
        <v>27</v>
      </c>
      <c r="I6">
        <v>11</v>
      </c>
      <c r="J6">
        <v>100</v>
      </c>
      <c r="K6">
        <v>75.069130434782608</v>
      </c>
      <c r="L6">
        <v>24.930869565217389</v>
      </c>
      <c r="M6">
        <v>0</v>
      </c>
      <c r="N6">
        <v>9.765625E-4</v>
      </c>
      <c r="O6">
        <v>1.34698275862069E-3</v>
      </c>
      <c r="P6" t="b">
        <v>1</v>
      </c>
      <c r="Q6">
        <v>1</v>
      </c>
      <c r="R6" t="s">
        <v>28</v>
      </c>
      <c r="S6" t="s">
        <v>26</v>
      </c>
    </row>
    <row r="7" spans="1:20" x14ac:dyDescent="0.2">
      <c r="A7" t="s">
        <v>36</v>
      </c>
      <c r="B7" t="s">
        <v>37</v>
      </c>
      <c r="C7" t="s">
        <v>35</v>
      </c>
      <c r="D7" t="s">
        <v>30</v>
      </c>
      <c r="E7" t="s">
        <v>24</v>
      </c>
      <c r="F7" t="s">
        <v>25</v>
      </c>
      <c r="G7" t="s">
        <v>26</v>
      </c>
      <c r="H7" t="s">
        <v>27</v>
      </c>
      <c r="I7">
        <v>11</v>
      </c>
      <c r="J7">
        <v>96.477391304347833</v>
      </c>
      <c r="K7">
        <v>82.080869565217384</v>
      </c>
      <c r="L7">
        <v>14.396521739130449</v>
      </c>
      <c r="M7">
        <v>0</v>
      </c>
      <c r="N7">
        <v>9.765625E-4</v>
      </c>
      <c r="O7">
        <v>1.34698275862069E-3</v>
      </c>
      <c r="P7" t="b">
        <v>1</v>
      </c>
      <c r="Q7">
        <v>1</v>
      </c>
      <c r="R7" t="s">
        <v>28</v>
      </c>
      <c r="S7" t="s">
        <v>26</v>
      </c>
    </row>
    <row r="8" spans="1:20" x14ac:dyDescent="0.2">
      <c r="A8" t="s">
        <v>38</v>
      </c>
      <c r="B8" t="s">
        <v>39</v>
      </c>
      <c r="C8" t="s">
        <v>22</v>
      </c>
      <c r="D8" t="s">
        <v>30</v>
      </c>
      <c r="E8" t="s">
        <v>24</v>
      </c>
      <c r="F8" t="s">
        <v>25</v>
      </c>
      <c r="G8" t="s">
        <v>26</v>
      </c>
      <c r="H8" t="s">
        <v>27</v>
      </c>
      <c r="I8">
        <v>11</v>
      </c>
      <c r="J8">
        <v>100</v>
      </c>
      <c r="K8">
        <v>98.105476190476196</v>
      </c>
      <c r="L8">
        <v>1.8945238095238039</v>
      </c>
      <c r="M8">
        <v>0</v>
      </c>
      <c r="N8">
        <v>9.765625E-4</v>
      </c>
      <c r="O8">
        <v>1.34698275862069E-3</v>
      </c>
      <c r="P8" t="b">
        <v>1</v>
      </c>
      <c r="Q8">
        <v>1</v>
      </c>
      <c r="R8" t="s">
        <v>28</v>
      </c>
      <c r="S8" t="s">
        <v>26</v>
      </c>
    </row>
    <row r="9" spans="1:20" x14ac:dyDescent="0.2">
      <c r="A9" t="s">
        <v>38</v>
      </c>
      <c r="B9" t="s">
        <v>39</v>
      </c>
      <c r="C9" t="s">
        <v>34</v>
      </c>
      <c r="D9" t="s">
        <v>30</v>
      </c>
      <c r="E9" t="s">
        <v>24</v>
      </c>
      <c r="F9" t="s">
        <v>25</v>
      </c>
      <c r="G9" t="s">
        <v>26</v>
      </c>
      <c r="H9" t="s">
        <v>27</v>
      </c>
      <c r="I9">
        <v>11</v>
      </c>
      <c r="J9">
        <v>100</v>
      </c>
      <c r="K9">
        <v>100</v>
      </c>
      <c r="L9">
        <v>0</v>
      </c>
      <c r="M9">
        <v>0</v>
      </c>
      <c r="N9">
        <v>1</v>
      </c>
      <c r="O9">
        <v>1</v>
      </c>
      <c r="P9" t="b">
        <v>0</v>
      </c>
      <c r="Q9">
        <v>0.5</v>
      </c>
      <c r="R9" t="s">
        <v>31</v>
      </c>
      <c r="S9" t="s">
        <v>32</v>
      </c>
      <c r="T9" t="s">
        <v>33</v>
      </c>
    </row>
    <row r="10" spans="1:20" x14ac:dyDescent="0.2">
      <c r="A10" t="s">
        <v>38</v>
      </c>
      <c r="B10" t="s">
        <v>39</v>
      </c>
      <c r="C10" t="s">
        <v>35</v>
      </c>
      <c r="D10" t="s">
        <v>30</v>
      </c>
      <c r="E10" t="s">
        <v>24</v>
      </c>
      <c r="F10" t="s">
        <v>25</v>
      </c>
      <c r="G10" t="s">
        <v>26</v>
      </c>
      <c r="H10" t="s">
        <v>27</v>
      </c>
      <c r="I10">
        <v>11</v>
      </c>
      <c r="J10">
        <v>100</v>
      </c>
      <c r="K10">
        <v>100</v>
      </c>
      <c r="L10">
        <v>0</v>
      </c>
      <c r="M10">
        <v>0</v>
      </c>
      <c r="N10">
        <v>1</v>
      </c>
      <c r="O10">
        <v>1</v>
      </c>
      <c r="P10" t="b">
        <v>0</v>
      </c>
      <c r="Q10">
        <v>0.5</v>
      </c>
      <c r="R10" t="s">
        <v>31</v>
      </c>
      <c r="S10" t="s">
        <v>32</v>
      </c>
      <c r="T10" t="s">
        <v>33</v>
      </c>
    </row>
    <row r="11" spans="1:20" x14ac:dyDescent="0.2">
      <c r="A11" t="s">
        <v>40</v>
      </c>
      <c r="B11" t="s">
        <v>41</v>
      </c>
      <c r="C11" t="s">
        <v>22</v>
      </c>
      <c r="D11" t="s">
        <v>30</v>
      </c>
      <c r="E11" t="s">
        <v>24</v>
      </c>
      <c r="F11" t="s">
        <v>25</v>
      </c>
      <c r="G11" t="s">
        <v>26</v>
      </c>
      <c r="H11" t="s">
        <v>27</v>
      </c>
      <c r="I11">
        <v>11</v>
      </c>
      <c r="J11">
        <v>100</v>
      </c>
      <c r="K11">
        <v>96.405361445783129</v>
      </c>
      <c r="L11">
        <v>3.5946385542168708</v>
      </c>
      <c r="M11">
        <v>0</v>
      </c>
      <c r="N11">
        <v>9.765625E-4</v>
      </c>
      <c r="O11">
        <v>1.34698275862069E-3</v>
      </c>
      <c r="P11" t="b">
        <v>1</v>
      </c>
      <c r="Q11">
        <v>1</v>
      </c>
      <c r="R11" t="s">
        <v>28</v>
      </c>
      <c r="S11" t="s">
        <v>26</v>
      </c>
    </row>
    <row r="12" spans="1:20" x14ac:dyDescent="0.2">
      <c r="A12" t="s">
        <v>40</v>
      </c>
      <c r="B12" t="s">
        <v>41</v>
      </c>
      <c r="C12" t="s">
        <v>34</v>
      </c>
      <c r="D12" t="s">
        <v>30</v>
      </c>
      <c r="E12" t="s">
        <v>24</v>
      </c>
      <c r="F12" t="s">
        <v>25</v>
      </c>
      <c r="G12" t="s">
        <v>26</v>
      </c>
      <c r="H12" t="s">
        <v>27</v>
      </c>
      <c r="I12">
        <v>11</v>
      </c>
      <c r="J12">
        <v>100</v>
      </c>
      <c r="K12">
        <v>97.603734939759036</v>
      </c>
      <c r="L12">
        <v>2.3962650602409639</v>
      </c>
      <c r="M12">
        <v>0</v>
      </c>
      <c r="N12">
        <v>9.765625E-4</v>
      </c>
      <c r="O12">
        <v>1.34698275862069E-3</v>
      </c>
      <c r="P12" t="b">
        <v>1</v>
      </c>
      <c r="Q12">
        <v>1</v>
      </c>
      <c r="R12" t="s">
        <v>28</v>
      </c>
      <c r="S12" t="s">
        <v>26</v>
      </c>
    </row>
    <row r="13" spans="1:20" x14ac:dyDescent="0.2">
      <c r="A13" t="s">
        <v>40</v>
      </c>
      <c r="B13" t="s">
        <v>41</v>
      </c>
      <c r="C13" t="s">
        <v>35</v>
      </c>
      <c r="D13" t="s">
        <v>30</v>
      </c>
      <c r="E13" t="s">
        <v>24</v>
      </c>
      <c r="F13" t="s">
        <v>25</v>
      </c>
      <c r="G13" t="s">
        <v>26</v>
      </c>
      <c r="H13" t="s">
        <v>27</v>
      </c>
      <c r="I13">
        <v>11</v>
      </c>
      <c r="J13">
        <v>91.599919678714869</v>
      </c>
      <c r="K13">
        <v>98.80202811244979</v>
      </c>
      <c r="L13">
        <v>-7.2021084337349208</v>
      </c>
      <c r="M13">
        <v>0</v>
      </c>
      <c r="N13">
        <v>9.765625E-4</v>
      </c>
      <c r="O13">
        <v>1.34698275862069E-3</v>
      </c>
      <c r="P13" t="b">
        <v>1</v>
      </c>
      <c r="Q13">
        <v>0</v>
      </c>
      <c r="R13" t="s">
        <v>28</v>
      </c>
      <c r="S13" t="s">
        <v>24</v>
      </c>
    </row>
    <row r="14" spans="1:20" x14ac:dyDescent="0.2">
      <c r="A14" t="s">
        <v>42</v>
      </c>
      <c r="B14" t="s">
        <v>43</v>
      </c>
      <c r="C14" t="s">
        <v>22</v>
      </c>
      <c r="D14" t="s">
        <v>30</v>
      </c>
      <c r="E14" t="s">
        <v>24</v>
      </c>
      <c r="F14" t="s">
        <v>25</v>
      </c>
      <c r="G14" t="s">
        <v>26</v>
      </c>
      <c r="H14" t="s">
        <v>27</v>
      </c>
      <c r="I14">
        <v>11</v>
      </c>
      <c r="J14">
        <v>100</v>
      </c>
      <c r="K14">
        <v>68.809613363363368</v>
      </c>
      <c r="L14">
        <v>31.190386636636632</v>
      </c>
      <c r="M14">
        <v>0</v>
      </c>
      <c r="N14">
        <v>9.765625E-4</v>
      </c>
      <c r="O14">
        <v>1.34698275862069E-3</v>
      </c>
      <c r="P14" t="b">
        <v>1</v>
      </c>
      <c r="Q14">
        <v>1</v>
      </c>
      <c r="R14" t="s">
        <v>28</v>
      </c>
      <c r="S14" t="s">
        <v>26</v>
      </c>
    </row>
    <row r="15" spans="1:20" x14ac:dyDescent="0.2">
      <c r="A15" t="s">
        <v>42</v>
      </c>
      <c r="B15" t="s">
        <v>43</v>
      </c>
      <c r="C15" t="s">
        <v>34</v>
      </c>
      <c r="D15" t="s">
        <v>30</v>
      </c>
      <c r="E15" t="s">
        <v>24</v>
      </c>
      <c r="F15" t="s">
        <v>25</v>
      </c>
      <c r="G15" t="s">
        <v>26</v>
      </c>
      <c r="H15" t="s">
        <v>27</v>
      </c>
      <c r="I15">
        <v>11</v>
      </c>
      <c r="J15">
        <v>100</v>
      </c>
      <c r="K15">
        <v>85.767308558558554</v>
      </c>
      <c r="L15">
        <v>14.23269144144145</v>
      </c>
      <c r="M15">
        <v>0</v>
      </c>
      <c r="N15">
        <v>9.765625E-4</v>
      </c>
      <c r="O15">
        <v>1.34698275862069E-3</v>
      </c>
      <c r="P15" t="b">
        <v>1</v>
      </c>
      <c r="Q15">
        <v>1</v>
      </c>
      <c r="R15" t="s">
        <v>28</v>
      </c>
      <c r="S15" t="s">
        <v>26</v>
      </c>
    </row>
    <row r="16" spans="1:20" x14ac:dyDescent="0.2">
      <c r="A16" t="s">
        <v>42</v>
      </c>
      <c r="B16" t="s">
        <v>43</v>
      </c>
      <c r="C16" t="s">
        <v>35</v>
      </c>
      <c r="D16" t="s">
        <v>30</v>
      </c>
      <c r="E16" t="s">
        <v>24</v>
      </c>
      <c r="F16" t="s">
        <v>25</v>
      </c>
      <c r="G16" t="s">
        <v>26</v>
      </c>
      <c r="H16" t="s">
        <v>27</v>
      </c>
      <c r="I16">
        <v>11</v>
      </c>
      <c r="J16">
        <v>100</v>
      </c>
      <c r="K16">
        <v>86.937192192192185</v>
      </c>
      <c r="L16">
        <v>13.062807807807809</v>
      </c>
      <c r="M16">
        <v>0</v>
      </c>
      <c r="N16">
        <v>9.765625E-4</v>
      </c>
      <c r="O16">
        <v>1.34698275862069E-3</v>
      </c>
      <c r="P16" t="b">
        <v>1</v>
      </c>
      <c r="Q16">
        <v>1</v>
      </c>
      <c r="R16" t="s">
        <v>28</v>
      </c>
      <c r="S16" t="s">
        <v>26</v>
      </c>
    </row>
    <row r="17" spans="1:20" x14ac:dyDescent="0.2">
      <c r="A17" t="s">
        <v>45</v>
      </c>
      <c r="B17" t="s">
        <v>46</v>
      </c>
      <c r="C17" t="s">
        <v>22</v>
      </c>
      <c r="D17" t="s">
        <v>30</v>
      </c>
      <c r="E17" t="s">
        <v>24</v>
      </c>
      <c r="F17" t="s">
        <v>25</v>
      </c>
      <c r="G17" t="s">
        <v>26</v>
      </c>
      <c r="H17" t="s">
        <v>27</v>
      </c>
      <c r="I17">
        <v>11</v>
      </c>
      <c r="J17">
        <v>100</v>
      </c>
      <c r="K17">
        <v>92.566375000000008</v>
      </c>
      <c r="L17">
        <v>7.4336249999999922</v>
      </c>
      <c r="M17">
        <v>0</v>
      </c>
      <c r="N17">
        <v>9.765625E-4</v>
      </c>
      <c r="O17">
        <v>1.34698275862069E-3</v>
      </c>
      <c r="P17" t="b">
        <v>1</v>
      </c>
      <c r="Q17">
        <v>1</v>
      </c>
      <c r="R17" t="s">
        <v>28</v>
      </c>
      <c r="S17" t="s">
        <v>26</v>
      </c>
    </row>
    <row r="18" spans="1:20" x14ac:dyDescent="0.2">
      <c r="A18" t="s">
        <v>45</v>
      </c>
      <c r="B18" t="s">
        <v>46</v>
      </c>
      <c r="C18" t="s">
        <v>34</v>
      </c>
      <c r="D18" t="s">
        <v>30</v>
      </c>
      <c r="E18" t="s">
        <v>24</v>
      </c>
      <c r="F18" t="s">
        <v>25</v>
      </c>
      <c r="G18" t="s">
        <v>26</v>
      </c>
      <c r="H18" t="s">
        <v>27</v>
      </c>
      <c r="I18">
        <v>11</v>
      </c>
      <c r="J18">
        <v>100</v>
      </c>
      <c r="K18">
        <v>92.566375000000008</v>
      </c>
      <c r="L18">
        <v>7.4336249999999922</v>
      </c>
      <c r="M18">
        <v>0</v>
      </c>
      <c r="N18">
        <v>9.765625E-4</v>
      </c>
      <c r="O18">
        <v>1.34698275862069E-3</v>
      </c>
      <c r="P18" t="b">
        <v>1</v>
      </c>
      <c r="Q18">
        <v>1</v>
      </c>
      <c r="R18" t="s">
        <v>28</v>
      </c>
      <c r="S18" t="s">
        <v>26</v>
      </c>
    </row>
    <row r="19" spans="1:20" x14ac:dyDescent="0.2">
      <c r="A19" t="s">
        <v>45</v>
      </c>
      <c r="B19" t="s">
        <v>46</v>
      </c>
      <c r="C19" t="s">
        <v>35</v>
      </c>
      <c r="D19" t="s">
        <v>30</v>
      </c>
      <c r="E19" t="s">
        <v>24</v>
      </c>
      <c r="F19" t="s">
        <v>25</v>
      </c>
      <c r="G19" t="s">
        <v>26</v>
      </c>
      <c r="H19" t="s">
        <v>27</v>
      </c>
      <c r="I19">
        <v>11</v>
      </c>
      <c r="J19">
        <v>100</v>
      </c>
      <c r="K19">
        <v>92.566375000000008</v>
      </c>
      <c r="L19">
        <v>7.4336249999999922</v>
      </c>
      <c r="M19">
        <v>0</v>
      </c>
      <c r="N19">
        <v>9.765625E-4</v>
      </c>
      <c r="O19">
        <v>1.34698275862069E-3</v>
      </c>
      <c r="P19" t="b">
        <v>1</v>
      </c>
      <c r="Q19">
        <v>1</v>
      </c>
      <c r="R19" t="s">
        <v>28</v>
      </c>
      <c r="S19" t="s">
        <v>26</v>
      </c>
    </row>
    <row r="20" spans="1:20" x14ac:dyDescent="0.2">
      <c r="A20" t="s">
        <v>47</v>
      </c>
      <c r="B20" t="s">
        <v>48</v>
      </c>
      <c r="C20" t="s">
        <v>22</v>
      </c>
      <c r="D20" t="s">
        <v>30</v>
      </c>
      <c r="E20" t="s">
        <v>24</v>
      </c>
      <c r="F20" t="s">
        <v>25</v>
      </c>
      <c r="G20" t="s">
        <v>26</v>
      </c>
      <c r="H20" t="s">
        <v>27</v>
      </c>
      <c r="I20">
        <v>11</v>
      </c>
      <c r="J20">
        <v>100</v>
      </c>
      <c r="K20">
        <v>4.0951250000000003</v>
      </c>
      <c r="L20">
        <v>95.904875000000004</v>
      </c>
      <c r="M20">
        <v>0</v>
      </c>
      <c r="N20">
        <v>9.765625E-4</v>
      </c>
      <c r="O20">
        <v>1.34698275862069E-3</v>
      </c>
      <c r="P20" t="b">
        <v>1</v>
      </c>
      <c r="Q20">
        <v>1</v>
      </c>
      <c r="R20" t="s">
        <v>28</v>
      </c>
      <c r="S20" t="s">
        <v>26</v>
      </c>
    </row>
    <row r="21" spans="1:20" x14ac:dyDescent="0.2">
      <c r="A21" t="s">
        <v>47</v>
      </c>
      <c r="B21" t="s">
        <v>48</v>
      </c>
      <c r="C21" t="s">
        <v>34</v>
      </c>
      <c r="D21" t="s">
        <v>30</v>
      </c>
      <c r="E21" t="s">
        <v>24</v>
      </c>
      <c r="F21" t="s">
        <v>25</v>
      </c>
      <c r="G21" t="s">
        <v>26</v>
      </c>
      <c r="H21" t="s">
        <v>27</v>
      </c>
      <c r="I21">
        <v>11</v>
      </c>
      <c r="J21">
        <v>100</v>
      </c>
      <c r="K21">
        <v>6.9677500000000014</v>
      </c>
      <c r="L21">
        <v>93.032250000000005</v>
      </c>
      <c r="M21">
        <v>0</v>
      </c>
      <c r="N21">
        <v>9.765625E-4</v>
      </c>
      <c r="O21">
        <v>1.34698275862069E-3</v>
      </c>
      <c r="P21" t="b">
        <v>1</v>
      </c>
      <c r="Q21">
        <v>1</v>
      </c>
      <c r="R21" t="s">
        <v>28</v>
      </c>
      <c r="S21" t="s">
        <v>26</v>
      </c>
    </row>
    <row r="22" spans="1:20" x14ac:dyDescent="0.2">
      <c r="A22" t="s">
        <v>47</v>
      </c>
      <c r="B22" t="s">
        <v>48</v>
      </c>
      <c r="C22" t="s">
        <v>35</v>
      </c>
      <c r="D22" t="s">
        <v>30</v>
      </c>
      <c r="E22" t="s">
        <v>24</v>
      </c>
      <c r="F22" t="s">
        <v>25</v>
      </c>
      <c r="G22" t="s">
        <v>26</v>
      </c>
      <c r="H22" t="s">
        <v>27</v>
      </c>
      <c r="I22">
        <v>11</v>
      </c>
      <c r="J22">
        <v>100</v>
      </c>
      <c r="K22">
        <v>10.455875000000001</v>
      </c>
      <c r="L22">
        <v>89.544124999999994</v>
      </c>
      <c r="M22">
        <v>0</v>
      </c>
      <c r="N22">
        <v>9.765625E-4</v>
      </c>
      <c r="O22">
        <v>1.34698275862069E-3</v>
      </c>
      <c r="P22" t="b">
        <v>1</v>
      </c>
      <c r="Q22">
        <v>1</v>
      </c>
      <c r="R22" t="s">
        <v>28</v>
      </c>
      <c r="S22" t="s">
        <v>26</v>
      </c>
    </row>
    <row r="23" spans="1:20" x14ac:dyDescent="0.2">
      <c r="A23" t="s">
        <v>49</v>
      </c>
      <c r="B23" t="s">
        <v>50</v>
      </c>
      <c r="C23" t="s">
        <v>22</v>
      </c>
      <c r="D23" t="s">
        <v>30</v>
      </c>
      <c r="E23" t="s">
        <v>24</v>
      </c>
      <c r="F23" t="s">
        <v>25</v>
      </c>
      <c r="G23" t="s">
        <v>26</v>
      </c>
      <c r="H23" t="s">
        <v>27</v>
      </c>
      <c r="I23">
        <v>11</v>
      </c>
      <c r="J23">
        <v>100</v>
      </c>
      <c r="K23">
        <v>37.406947115384618</v>
      </c>
      <c r="L23">
        <v>62.593052884615382</v>
      </c>
      <c r="M23">
        <v>0</v>
      </c>
      <c r="N23">
        <v>9.765625E-4</v>
      </c>
      <c r="O23">
        <v>1.34698275862069E-3</v>
      </c>
      <c r="P23" t="b">
        <v>1</v>
      </c>
      <c r="Q23">
        <v>1</v>
      </c>
      <c r="R23" t="s">
        <v>28</v>
      </c>
      <c r="S23" t="s">
        <v>26</v>
      </c>
    </row>
    <row r="24" spans="1:20" x14ac:dyDescent="0.2">
      <c r="A24" t="s">
        <v>49</v>
      </c>
      <c r="B24" t="s">
        <v>50</v>
      </c>
      <c r="C24" t="s">
        <v>34</v>
      </c>
      <c r="D24" t="s">
        <v>30</v>
      </c>
      <c r="E24" t="s">
        <v>24</v>
      </c>
      <c r="F24" t="s">
        <v>25</v>
      </c>
      <c r="G24" t="s">
        <v>26</v>
      </c>
      <c r="H24" t="s">
        <v>27</v>
      </c>
      <c r="I24">
        <v>11</v>
      </c>
      <c r="J24">
        <v>100</v>
      </c>
      <c r="K24">
        <v>38.85050480769231</v>
      </c>
      <c r="L24">
        <v>61.14949519230769</v>
      </c>
      <c r="M24">
        <v>0</v>
      </c>
      <c r="N24">
        <v>9.765625E-4</v>
      </c>
      <c r="O24">
        <v>1.34698275862069E-3</v>
      </c>
      <c r="P24" t="b">
        <v>1</v>
      </c>
      <c r="Q24">
        <v>1</v>
      </c>
      <c r="R24" t="s">
        <v>28</v>
      </c>
      <c r="S24" t="s">
        <v>26</v>
      </c>
    </row>
    <row r="25" spans="1:20" x14ac:dyDescent="0.2">
      <c r="A25" t="s">
        <v>49</v>
      </c>
      <c r="B25" t="s">
        <v>50</v>
      </c>
      <c r="C25" t="s">
        <v>35</v>
      </c>
      <c r="D25" t="s">
        <v>30</v>
      </c>
      <c r="E25" t="s">
        <v>24</v>
      </c>
      <c r="F25" t="s">
        <v>25</v>
      </c>
      <c r="G25" t="s">
        <v>26</v>
      </c>
      <c r="H25" t="s">
        <v>27</v>
      </c>
      <c r="I25">
        <v>11</v>
      </c>
      <c r="J25">
        <v>100</v>
      </c>
      <c r="K25">
        <v>40.293028846153852</v>
      </c>
      <c r="L25">
        <v>59.706971153846148</v>
      </c>
      <c r="M25">
        <v>0</v>
      </c>
      <c r="N25">
        <v>9.765625E-4</v>
      </c>
      <c r="O25">
        <v>1.34698275862069E-3</v>
      </c>
      <c r="P25" t="b">
        <v>1</v>
      </c>
      <c r="Q25">
        <v>1</v>
      </c>
      <c r="R25" t="s">
        <v>28</v>
      </c>
      <c r="S25" t="s">
        <v>26</v>
      </c>
    </row>
    <row r="26" spans="1:20" x14ac:dyDescent="0.2">
      <c r="A26" t="s">
        <v>20</v>
      </c>
      <c r="B26" t="s">
        <v>21</v>
      </c>
      <c r="C26" t="s">
        <v>51</v>
      </c>
      <c r="D26" t="s">
        <v>30</v>
      </c>
      <c r="E26" t="s">
        <v>24</v>
      </c>
      <c r="F26" t="s">
        <v>25</v>
      </c>
      <c r="G26" t="s">
        <v>52</v>
      </c>
      <c r="H26" t="s">
        <v>53</v>
      </c>
      <c r="I26">
        <v>11</v>
      </c>
      <c r="J26">
        <v>100</v>
      </c>
      <c r="K26">
        <v>100</v>
      </c>
      <c r="L26">
        <v>0</v>
      </c>
      <c r="M26">
        <v>0</v>
      </c>
      <c r="N26">
        <v>1</v>
      </c>
      <c r="O26">
        <v>1</v>
      </c>
      <c r="P26" t="b">
        <v>0</v>
      </c>
      <c r="Q26">
        <v>0.5</v>
      </c>
      <c r="R26" t="s">
        <v>31</v>
      </c>
      <c r="S26" t="s">
        <v>32</v>
      </c>
      <c r="T26" t="s">
        <v>33</v>
      </c>
    </row>
    <row r="27" spans="1:20" x14ac:dyDescent="0.2">
      <c r="A27" t="s">
        <v>36</v>
      </c>
      <c r="B27" t="s">
        <v>37</v>
      </c>
      <c r="C27" t="s">
        <v>51</v>
      </c>
      <c r="D27" t="s">
        <v>30</v>
      </c>
      <c r="E27" t="s">
        <v>24</v>
      </c>
      <c r="F27" t="s">
        <v>25</v>
      </c>
      <c r="G27" t="s">
        <v>52</v>
      </c>
      <c r="H27" t="s">
        <v>53</v>
      </c>
      <c r="I27">
        <v>11</v>
      </c>
      <c r="J27">
        <v>100</v>
      </c>
      <c r="K27">
        <v>100</v>
      </c>
      <c r="L27">
        <v>0</v>
      </c>
      <c r="M27">
        <v>0</v>
      </c>
      <c r="N27">
        <v>1</v>
      </c>
      <c r="O27">
        <v>1</v>
      </c>
      <c r="P27" t="b">
        <v>0</v>
      </c>
      <c r="Q27">
        <v>0.5</v>
      </c>
      <c r="R27" t="s">
        <v>31</v>
      </c>
      <c r="S27" t="s">
        <v>32</v>
      </c>
      <c r="T27" t="s">
        <v>33</v>
      </c>
    </row>
    <row r="28" spans="1:20" x14ac:dyDescent="0.2">
      <c r="A28" t="s">
        <v>38</v>
      </c>
      <c r="B28" t="s">
        <v>39</v>
      </c>
      <c r="C28" t="s">
        <v>51</v>
      </c>
      <c r="D28" t="s">
        <v>30</v>
      </c>
      <c r="E28" t="s">
        <v>24</v>
      </c>
      <c r="F28" t="s">
        <v>25</v>
      </c>
      <c r="G28" t="s">
        <v>52</v>
      </c>
      <c r="H28" t="s">
        <v>53</v>
      </c>
      <c r="I28">
        <v>11</v>
      </c>
      <c r="J28">
        <v>100</v>
      </c>
      <c r="K28">
        <v>100</v>
      </c>
      <c r="L28">
        <v>0</v>
      </c>
      <c r="M28">
        <v>0</v>
      </c>
      <c r="N28">
        <v>1</v>
      </c>
      <c r="O28">
        <v>1</v>
      </c>
      <c r="P28" t="b">
        <v>0</v>
      </c>
      <c r="Q28">
        <v>0.5</v>
      </c>
      <c r="R28" t="s">
        <v>31</v>
      </c>
      <c r="S28" t="s">
        <v>32</v>
      </c>
      <c r="T28" t="s">
        <v>33</v>
      </c>
    </row>
    <row r="29" spans="1:20" x14ac:dyDescent="0.2">
      <c r="A29" t="s">
        <v>40</v>
      </c>
      <c r="B29" t="s">
        <v>41</v>
      </c>
      <c r="C29" t="s">
        <v>51</v>
      </c>
      <c r="D29" t="s">
        <v>30</v>
      </c>
      <c r="E29" t="s">
        <v>24</v>
      </c>
      <c r="F29" t="s">
        <v>25</v>
      </c>
      <c r="G29" t="s">
        <v>52</v>
      </c>
      <c r="H29" t="s">
        <v>53</v>
      </c>
      <c r="I29">
        <v>11</v>
      </c>
      <c r="J29">
        <v>100</v>
      </c>
      <c r="K29">
        <v>100</v>
      </c>
      <c r="L29">
        <v>0</v>
      </c>
      <c r="M29">
        <v>0</v>
      </c>
      <c r="N29">
        <v>1</v>
      </c>
      <c r="O29">
        <v>1</v>
      </c>
      <c r="P29" t="b">
        <v>0</v>
      </c>
      <c r="Q29">
        <v>0.5</v>
      </c>
      <c r="R29" t="s">
        <v>31</v>
      </c>
      <c r="S29" t="s">
        <v>32</v>
      </c>
      <c r="T29" t="s">
        <v>33</v>
      </c>
    </row>
    <row r="30" spans="1:20" x14ac:dyDescent="0.2">
      <c r="A30" t="s">
        <v>42</v>
      </c>
      <c r="B30" t="s">
        <v>43</v>
      </c>
      <c r="C30" t="s">
        <v>51</v>
      </c>
      <c r="D30" t="s">
        <v>30</v>
      </c>
      <c r="E30" t="s">
        <v>24</v>
      </c>
      <c r="F30" t="s">
        <v>25</v>
      </c>
      <c r="G30" t="s">
        <v>52</v>
      </c>
      <c r="H30" t="s">
        <v>53</v>
      </c>
      <c r="I30">
        <v>11</v>
      </c>
      <c r="J30">
        <v>100</v>
      </c>
      <c r="K30">
        <v>100</v>
      </c>
      <c r="L30">
        <v>0</v>
      </c>
      <c r="M30">
        <v>0</v>
      </c>
      <c r="N30">
        <v>1</v>
      </c>
      <c r="O30">
        <v>1</v>
      </c>
      <c r="P30" t="b">
        <v>0</v>
      </c>
      <c r="Q30">
        <v>0.5</v>
      </c>
      <c r="R30" t="s">
        <v>31</v>
      </c>
      <c r="S30" t="s">
        <v>32</v>
      </c>
      <c r="T30" t="s">
        <v>33</v>
      </c>
    </row>
    <row r="31" spans="1:20" x14ac:dyDescent="0.2">
      <c r="A31" t="s">
        <v>45</v>
      </c>
      <c r="B31" t="s">
        <v>46</v>
      </c>
      <c r="C31" t="s">
        <v>51</v>
      </c>
      <c r="D31" t="s">
        <v>30</v>
      </c>
      <c r="E31" t="s">
        <v>24</v>
      </c>
      <c r="F31" t="s">
        <v>25</v>
      </c>
      <c r="G31" t="s">
        <v>52</v>
      </c>
      <c r="H31" t="s">
        <v>53</v>
      </c>
      <c r="I31">
        <v>11</v>
      </c>
      <c r="J31">
        <v>100</v>
      </c>
      <c r="K31">
        <v>99.996000000000009</v>
      </c>
      <c r="L31">
        <v>3.9999999999906777E-3</v>
      </c>
      <c r="M31">
        <v>0</v>
      </c>
      <c r="N31">
        <v>9.765625E-4</v>
      </c>
      <c r="O31">
        <v>1.34698275862069E-3</v>
      </c>
      <c r="P31" t="b">
        <v>1</v>
      </c>
      <c r="Q31">
        <v>1</v>
      </c>
      <c r="R31" t="s">
        <v>28</v>
      </c>
      <c r="S31" t="s">
        <v>52</v>
      </c>
    </row>
    <row r="32" spans="1:20" x14ac:dyDescent="0.2">
      <c r="A32" t="s">
        <v>47</v>
      </c>
      <c r="B32" t="s">
        <v>48</v>
      </c>
      <c r="C32" t="s">
        <v>51</v>
      </c>
      <c r="D32" t="s">
        <v>30</v>
      </c>
      <c r="E32" t="s">
        <v>24</v>
      </c>
      <c r="F32" t="s">
        <v>25</v>
      </c>
      <c r="G32" t="s">
        <v>52</v>
      </c>
      <c r="H32" t="s">
        <v>53</v>
      </c>
      <c r="I32">
        <v>11</v>
      </c>
      <c r="J32">
        <v>100</v>
      </c>
      <c r="K32">
        <v>84.723250000000007</v>
      </c>
      <c r="L32">
        <v>15.276749999999989</v>
      </c>
      <c r="M32">
        <v>0</v>
      </c>
      <c r="N32">
        <v>9.765625E-4</v>
      </c>
      <c r="O32">
        <v>1.34698275862069E-3</v>
      </c>
      <c r="P32" t="b">
        <v>1</v>
      </c>
      <c r="Q32">
        <v>1</v>
      </c>
      <c r="R32" t="s">
        <v>28</v>
      </c>
      <c r="S32" t="s">
        <v>52</v>
      </c>
    </row>
    <row r="33" spans="1:20" x14ac:dyDescent="0.2">
      <c r="A33" t="s">
        <v>49</v>
      </c>
      <c r="B33" t="s">
        <v>50</v>
      </c>
      <c r="C33" t="s">
        <v>51</v>
      </c>
      <c r="D33" t="s">
        <v>30</v>
      </c>
      <c r="E33" t="s">
        <v>24</v>
      </c>
      <c r="F33" t="s">
        <v>25</v>
      </c>
      <c r="G33" t="s">
        <v>52</v>
      </c>
      <c r="H33" t="s">
        <v>53</v>
      </c>
      <c r="I33">
        <v>11</v>
      </c>
      <c r="J33">
        <v>100</v>
      </c>
      <c r="K33">
        <v>96.103197115384617</v>
      </c>
      <c r="L33">
        <v>3.8968028846153828</v>
      </c>
      <c r="M33">
        <v>0</v>
      </c>
      <c r="N33">
        <v>9.765625E-4</v>
      </c>
      <c r="O33">
        <v>1.34698275862069E-3</v>
      </c>
      <c r="P33" t="b">
        <v>1</v>
      </c>
      <c r="Q33">
        <v>1</v>
      </c>
      <c r="R33" t="s">
        <v>28</v>
      </c>
      <c r="S33" t="s">
        <v>52</v>
      </c>
    </row>
    <row r="34" spans="1:20" x14ac:dyDescent="0.2">
      <c r="A34" t="s">
        <v>20</v>
      </c>
      <c r="B34" t="s">
        <v>21</v>
      </c>
      <c r="C34" t="s">
        <v>51</v>
      </c>
      <c r="D34" t="s">
        <v>30</v>
      </c>
      <c r="E34" t="s">
        <v>26</v>
      </c>
      <c r="F34" t="s">
        <v>27</v>
      </c>
      <c r="G34" t="s">
        <v>52</v>
      </c>
      <c r="H34" t="s">
        <v>53</v>
      </c>
      <c r="I34">
        <v>11</v>
      </c>
      <c r="J34">
        <v>100</v>
      </c>
      <c r="K34">
        <v>100</v>
      </c>
      <c r="L34">
        <v>0</v>
      </c>
      <c r="M34">
        <v>0</v>
      </c>
      <c r="N34">
        <v>1</v>
      </c>
      <c r="O34">
        <v>1</v>
      </c>
      <c r="P34" t="b">
        <v>0</v>
      </c>
      <c r="Q34">
        <v>0.5</v>
      </c>
      <c r="R34" t="s">
        <v>31</v>
      </c>
      <c r="S34" t="s">
        <v>32</v>
      </c>
      <c r="T34" t="s">
        <v>33</v>
      </c>
    </row>
    <row r="35" spans="1:20" x14ac:dyDescent="0.2">
      <c r="A35" t="s">
        <v>36</v>
      </c>
      <c r="B35" t="s">
        <v>37</v>
      </c>
      <c r="C35" t="s">
        <v>51</v>
      </c>
      <c r="D35" t="s">
        <v>30</v>
      </c>
      <c r="E35" t="s">
        <v>26</v>
      </c>
      <c r="F35" t="s">
        <v>27</v>
      </c>
      <c r="G35" t="s">
        <v>52</v>
      </c>
      <c r="H35" t="s">
        <v>53</v>
      </c>
      <c r="I35">
        <v>11</v>
      </c>
      <c r="J35">
        <v>35.753043478260857</v>
      </c>
      <c r="K35">
        <v>100</v>
      </c>
      <c r="L35">
        <v>-64.246956521739151</v>
      </c>
      <c r="M35">
        <v>0</v>
      </c>
      <c r="N35">
        <v>9.765625E-4</v>
      </c>
      <c r="O35">
        <v>1.34698275862069E-3</v>
      </c>
      <c r="P35" t="b">
        <v>1</v>
      </c>
      <c r="Q35">
        <v>0</v>
      </c>
      <c r="R35" t="s">
        <v>28</v>
      </c>
      <c r="S35" t="s">
        <v>26</v>
      </c>
    </row>
    <row r="36" spans="1:20" x14ac:dyDescent="0.2">
      <c r="A36" t="s">
        <v>38</v>
      </c>
      <c r="B36" t="s">
        <v>39</v>
      </c>
      <c r="C36" t="s">
        <v>51</v>
      </c>
      <c r="D36" t="s">
        <v>30</v>
      </c>
      <c r="E36" t="s">
        <v>26</v>
      </c>
      <c r="F36" t="s">
        <v>27</v>
      </c>
      <c r="G36" t="s">
        <v>52</v>
      </c>
      <c r="H36" t="s">
        <v>53</v>
      </c>
      <c r="I36">
        <v>11</v>
      </c>
      <c r="J36">
        <v>98.105476190476196</v>
      </c>
      <c r="K36">
        <v>100</v>
      </c>
      <c r="L36">
        <v>-1.8945238095238039</v>
      </c>
      <c r="M36">
        <v>0</v>
      </c>
      <c r="N36">
        <v>9.765625E-4</v>
      </c>
      <c r="O36">
        <v>1.34698275862069E-3</v>
      </c>
      <c r="P36" t="b">
        <v>1</v>
      </c>
      <c r="Q36">
        <v>0</v>
      </c>
      <c r="R36" t="s">
        <v>28</v>
      </c>
      <c r="S36" t="s">
        <v>26</v>
      </c>
    </row>
    <row r="37" spans="1:20" x14ac:dyDescent="0.2">
      <c r="A37" t="s">
        <v>40</v>
      </c>
      <c r="B37" t="s">
        <v>41</v>
      </c>
      <c r="C37" t="s">
        <v>51</v>
      </c>
      <c r="D37" t="s">
        <v>30</v>
      </c>
      <c r="E37" t="s">
        <v>26</v>
      </c>
      <c r="F37" t="s">
        <v>27</v>
      </c>
      <c r="G37" t="s">
        <v>52</v>
      </c>
      <c r="H37" t="s">
        <v>53</v>
      </c>
      <c r="I37">
        <v>11</v>
      </c>
      <c r="J37">
        <v>96.405361445783129</v>
      </c>
      <c r="K37">
        <v>100</v>
      </c>
      <c r="L37">
        <v>-3.5946385542168708</v>
      </c>
      <c r="M37">
        <v>0</v>
      </c>
      <c r="N37">
        <v>9.765625E-4</v>
      </c>
      <c r="O37">
        <v>1.34698275862069E-3</v>
      </c>
      <c r="P37" t="b">
        <v>1</v>
      </c>
      <c r="Q37">
        <v>0</v>
      </c>
      <c r="R37" t="s">
        <v>28</v>
      </c>
      <c r="S37" t="s">
        <v>26</v>
      </c>
    </row>
    <row r="38" spans="1:20" x14ac:dyDescent="0.2">
      <c r="A38" t="s">
        <v>42</v>
      </c>
      <c r="B38" t="s">
        <v>43</v>
      </c>
      <c r="C38" t="s">
        <v>51</v>
      </c>
      <c r="D38" t="s">
        <v>30</v>
      </c>
      <c r="E38" t="s">
        <v>26</v>
      </c>
      <c r="F38" t="s">
        <v>27</v>
      </c>
      <c r="G38" t="s">
        <v>52</v>
      </c>
      <c r="H38" t="s">
        <v>53</v>
      </c>
      <c r="I38">
        <v>11</v>
      </c>
      <c r="J38">
        <v>68.809613363363368</v>
      </c>
      <c r="K38">
        <v>100</v>
      </c>
      <c r="L38">
        <v>-31.190386636636632</v>
      </c>
      <c r="M38">
        <v>0</v>
      </c>
      <c r="N38">
        <v>9.765625E-4</v>
      </c>
      <c r="O38">
        <v>1.34698275862069E-3</v>
      </c>
      <c r="P38" t="b">
        <v>1</v>
      </c>
      <c r="Q38">
        <v>0</v>
      </c>
      <c r="R38" t="s">
        <v>28</v>
      </c>
      <c r="S38" t="s">
        <v>26</v>
      </c>
    </row>
    <row r="39" spans="1:20" x14ac:dyDescent="0.2">
      <c r="A39" t="s">
        <v>45</v>
      </c>
      <c r="B39" t="s">
        <v>46</v>
      </c>
      <c r="C39" t="s">
        <v>51</v>
      </c>
      <c r="D39" t="s">
        <v>30</v>
      </c>
      <c r="E39" t="s">
        <v>26</v>
      </c>
      <c r="F39" t="s">
        <v>27</v>
      </c>
      <c r="G39" t="s">
        <v>52</v>
      </c>
      <c r="H39" t="s">
        <v>53</v>
      </c>
      <c r="I39">
        <v>11</v>
      </c>
      <c r="J39">
        <v>92.566375000000008</v>
      </c>
      <c r="K39">
        <v>99.996000000000009</v>
      </c>
      <c r="L39">
        <v>-7.4296250000000006</v>
      </c>
      <c r="M39">
        <v>0</v>
      </c>
      <c r="N39">
        <v>9.765625E-4</v>
      </c>
      <c r="O39">
        <v>1.34698275862069E-3</v>
      </c>
      <c r="P39" t="b">
        <v>1</v>
      </c>
      <c r="Q39">
        <v>0</v>
      </c>
      <c r="R39" t="s">
        <v>28</v>
      </c>
      <c r="S39" t="s">
        <v>26</v>
      </c>
    </row>
    <row r="40" spans="1:20" x14ac:dyDescent="0.2">
      <c r="A40" t="s">
        <v>47</v>
      </c>
      <c r="B40" t="s">
        <v>48</v>
      </c>
      <c r="C40" t="s">
        <v>51</v>
      </c>
      <c r="D40" t="s">
        <v>30</v>
      </c>
      <c r="E40" t="s">
        <v>26</v>
      </c>
      <c r="F40" t="s">
        <v>27</v>
      </c>
      <c r="G40" t="s">
        <v>52</v>
      </c>
      <c r="H40" t="s">
        <v>53</v>
      </c>
      <c r="I40">
        <v>11</v>
      </c>
      <c r="J40">
        <v>4.0951250000000003</v>
      </c>
      <c r="K40">
        <v>84.723250000000007</v>
      </c>
      <c r="L40">
        <v>-80.628125000000011</v>
      </c>
      <c r="M40">
        <v>0</v>
      </c>
      <c r="N40">
        <v>9.765625E-4</v>
      </c>
      <c r="O40">
        <v>1.34698275862069E-3</v>
      </c>
      <c r="P40" t="b">
        <v>1</v>
      </c>
      <c r="Q40">
        <v>0</v>
      </c>
      <c r="R40" t="s">
        <v>28</v>
      </c>
      <c r="S40" t="s">
        <v>26</v>
      </c>
    </row>
    <row r="41" spans="1:20" x14ac:dyDescent="0.2">
      <c r="A41" t="s">
        <v>49</v>
      </c>
      <c r="B41" t="s">
        <v>50</v>
      </c>
      <c r="C41" t="s">
        <v>51</v>
      </c>
      <c r="D41" t="s">
        <v>30</v>
      </c>
      <c r="E41" t="s">
        <v>26</v>
      </c>
      <c r="F41" t="s">
        <v>27</v>
      </c>
      <c r="G41" t="s">
        <v>52</v>
      </c>
      <c r="H41" t="s">
        <v>53</v>
      </c>
      <c r="I41">
        <v>11</v>
      </c>
      <c r="J41">
        <v>37.406947115384618</v>
      </c>
      <c r="K41">
        <v>96.103197115384617</v>
      </c>
      <c r="L41">
        <v>-58.696249999999999</v>
      </c>
      <c r="M41">
        <v>0</v>
      </c>
      <c r="N41">
        <v>9.765625E-4</v>
      </c>
      <c r="O41">
        <v>1.34698275862069E-3</v>
      </c>
      <c r="P41" t="b">
        <v>1</v>
      </c>
      <c r="Q41">
        <v>0</v>
      </c>
      <c r="R41" t="s">
        <v>28</v>
      </c>
      <c r="S4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all_comparisons</vt:lpstr>
      <vt:lpstr>TestGenTime_ms</vt:lpstr>
      <vt:lpstr>TestGenPeakMemory_MB</vt:lpstr>
      <vt:lpstr>EdgeCoverage_pct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2026-04-28T19:30:01Z</dcterms:created>
  <dcterms:modified xsi:type="dcterms:W3CDTF">2026-04-30T14:18:15Z</dcterms:modified>
</cp:coreProperties>
</file>